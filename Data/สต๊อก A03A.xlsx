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455" windowWidth="18915" windowHeight="658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R1" i="1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N96"/>
  <c r="O96" s="1"/>
  <c r="D1"/>
  <c r="N6" l="1"/>
  <c r="O6" s="1"/>
  <c r="N14"/>
  <c r="O14" s="1"/>
  <c r="N22"/>
  <c r="O22" s="1"/>
  <c r="N30"/>
  <c r="O30" s="1"/>
  <c r="N38"/>
  <c r="O38" s="1"/>
  <c r="N12"/>
  <c r="O12" s="1"/>
  <c r="N20"/>
  <c r="O20" s="1"/>
  <c r="N28"/>
  <c r="O28" s="1"/>
  <c r="N36"/>
  <c r="O36" s="1"/>
  <c r="N4"/>
  <c r="O4" s="1"/>
  <c r="N10"/>
  <c r="O10" s="1"/>
  <c r="N18"/>
  <c r="O18" s="1"/>
  <c r="N26"/>
  <c r="O26" s="1"/>
  <c r="N34"/>
  <c r="O34" s="1"/>
  <c r="N8"/>
  <c r="O8" s="1"/>
  <c r="N16"/>
  <c r="O16" s="1"/>
  <c r="N24"/>
  <c r="O24" s="1"/>
  <c r="N32"/>
  <c r="O32" s="1"/>
  <c r="N5"/>
  <c r="O5" s="1"/>
  <c r="N9"/>
  <c r="O9" s="1"/>
  <c r="N13"/>
  <c r="O13" s="1"/>
  <c r="N17"/>
  <c r="O17" s="1"/>
  <c r="N21"/>
  <c r="O21" s="1"/>
  <c r="N25"/>
  <c r="O25" s="1"/>
  <c r="N29"/>
  <c r="O29" s="1"/>
  <c r="N33"/>
  <c r="O33" s="1"/>
  <c r="N37"/>
  <c r="O37" s="1"/>
  <c r="N41"/>
  <c r="O41" s="1"/>
  <c r="N45"/>
  <c r="O45" s="1"/>
  <c r="N49"/>
  <c r="O49" s="1"/>
  <c r="N53"/>
  <c r="O53" s="1"/>
  <c r="N57"/>
  <c r="O57" s="1"/>
  <c r="N61"/>
  <c r="O61" s="1"/>
  <c r="N65"/>
  <c r="O65" s="1"/>
  <c r="N69"/>
  <c r="O69" s="1"/>
  <c r="N73"/>
  <c r="O73" s="1"/>
  <c r="N77"/>
  <c r="O77" s="1"/>
  <c r="N81"/>
  <c r="O81" s="1"/>
  <c r="N85"/>
  <c r="O85" s="1"/>
  <c r="N89"/>
  <c r="O89" s="1"/>
  <c r="N93"/>
  <c r="O93" s="1"/>
  <c r="N97"/>
  <c r="O97" s="1"/>
  <c r="N42"/>
  <c r="O42" s="1"/>
  <c r="N46"/>
  <c r="O46" s="1"/>
  <c r="N50"/>
  <c r="O50" s="1"/>
  <c r="N54"/>
  <c r="O54" s="1"/>
  <c r="N58"/>
  <c r="O58" s="1"/>
  <c r="N62"/>
  <c r="O62" s="1"/>
  <c r="N66"/>
  <c r="O66" s="1"/>
  <c r="N70"/>
  <c r="O70" s="1"/>
  <c r="N74"/>
  <c r="O74" s="1"/>
  <c r="N78"/>
  <c r="O78" s="1"/>
  <c r="N82"/>
  <c r="O82" s="1"/>
  <c r="N86"/>
  <c r="O86" s="1"/>
  <c r="N90"/>
  <c r="O90" s="1"/>
  <c r="N94"/>
  <c r="O94" s="1"/>
  <c r="N98"/>
  <c r="O98" s="1"/>
  <c r="N7"/>
  <c r="O7" s="1"/>
  <c r="N11"/>
  <c r="O11" s="1"/>
  <c r="N15"/>
  <c r="O15" s="1"/>
  <c r="N19"/>
  <c r="O19" s="1"/>
  <c r="N23"/>
  <c r="O23" s="1"/>
  <c r="N27"/>
  <c r="O27" s="1"/>
  <c r="N31"/>
  <c r="O31" s="1"/>
  <c r="N35"/>
  <c r="O35" s="1"/>
  <c r="N39"/>
  <c r="O39" s="1"/>
  <c r="N43"/>
  <c r="O43" s="1"/>
  <c r="N47"/>
  <c r="O47" s="1"/>
  <c r="N51"/>
  <c r="O51" s="1"/>
  <c r="N55"/>
  <c r="O55" s="1"/>
  <c r="N59"/>
  <c r="O59" s="1"/>
  <c r="N63"/>
  <c r="O63" s="1"/>
  <c r="N67"/>
  <c r="O67" s="1"/>
  <c r="N71"/>
  <c r="O71" s="1"/>
  <c r="N75"/>
  <c r="O75" s="1"/>
  <c r="N79"/>
  <c r="O79" s="1"/>
  <c r="N83"/>
  <c r="O83" s="1"/>
  <c r="N87"/>
  <c r="O87" s="1"/>
  <c r="N91"/>
  <c r="O91" s="1"/>
  <c r="N95"/>
  <c r="O95" s="1"/>
  <c r="N40"/>
  <c r="O40" s="1"/>
  <c r="N44"/>
  <c r="O44" s="1"/>
  <c r="N48"/>
  <c r="O48" s="1"/>
  <c r="N52"/>
  <c r="O52" s="1"/>
  <c r="N56"/>
  <c r="O56" s="1"/>
  <c r="N60"/>
  <c r="O60" s="1"/>
  <c r="N64"/>
  <c r="O64" s="1"/>
  <c r="N68"/>
  <c r="O68" s="1"/>
  <c r="N72"/>
  <c r="O72" s="1"/>
  <c r="N76"/>
  <c r="O76" s="1"/>
  <c r="N80"/>
  <c r="O80" s="1"/>
  <c r="N84"/>
  <c r="O84" s="1"/>
  <c r="N88"/>
  <c r="O88" s="1"/>
  <c r="N92"/>
  <c r="O92" s="1"/>
</calcChain>
</file>

<file path=xl/comments1.xml><?xml version="1.0" encoding="utf-8"?>
<comments xmlns="http://schemas.openxmlformats.org/spreadsheetml/2006/main">
  <authors>
    <author>niyomnb01</author>
  </authors>
  <commentList>
    <comment ref="D1" authorId="0">
      <text>
        <r>
          <rPr>
            <b/>
            <sz val="16"/>
            <color indexed="81"/>
            <rFont val="Tahoma"/>
            <family val="2"/>
          </rPr>
          <t>ห้ามลบ เป็นสูตร</t>
        </r>
      </text>
    </comment>
    <comment ref="R1" authorId="0">
      <text>
        <r>
          <rPr>
            <b/>
            <sz val="16"/>
            <color indexed="81"/>
            <rFont val="Tahoma"/>
            <family val="2"/>
          </rPr>
          <t>ห้ามลบ เป็นสูตร</t>
        </r>
      </text>
    </comment>
    <comment ref="N3" authorId="0">
      <text>
        <r>
          <rPr>
            <b/>
            <sz val="16"/>
            <color indexed="81"/>
            <rFont val="Tahoma"/>
            <family val="2"/>
          </rPr>
          <t>ห้ามลบ เป็นสูตร</t>
        </r>
      </text>
    </comment>
    <comment ref="O3" authorId="0">
      <text>
        <r>
          <rPr>
            <b/>
            <sz val="16"/>
            <color indexed="81"/>
            <rFont val="Tahoma"/>
            <family val="2"/>
          </rPr>
          <t>ห้ามลบ เป็นสูตร</t>
        </r>
      </text>
    </comment>
  </commentList>
</comments>
</file>

<file path=xl/sharedStrings.xml><?xml version="1.0" encoding="utf-8"?>
<sst xmlns="http://schemas.openxmlformats.org/spreadsheetml/2006/main" count="879" uniqueCount="285">
  <si>
    <t xml:space="preserve">บัญชีรายการสต็อกสินค้าและของแถม ร้านตัวแทน </t>
  </si>
  <si>
    <t>ที่</t>
  </si>
  <si>
    <t xml:space="preserve"> Material</t>
  </si>
  <si>
    <t>รุ่นแบบ</t>
  </si>
  <si>
    <t>Serial No.</t>
  </si>
  <si>
    <t>Plant</t>
  </si>
  <si>
    <t>รหัส</t>
  </si>
  <si>
    <t>เลขเครื่อง</t>
  </si>
  <si>
    <t>วันที่รับโอน</t>
  </si>
  <si>
    <t>Changed by</t>
  </si>
  <si>
    <t>Valid From</t>
  </si>
  <si>
    <t>Valid To</t>
  </si>
  <si>
    <t>Stock Type</t>
  </si>
  <si>
    <t>เลขตัวถัง</t>
  </si>
  <si>
    <t>Aging</t>
  </si>
  <si>
    <t>ผลการตรวจเช็ค</t>
  </si>
  <si>
    <t>ManufSerialNo.</t>
  </si>
  <si>
    <t>Changed on</t>
  </si>
  <si>
    <t>ManufPartNo.</t>
  </si>
  <si>
    <t>Days</t>
  </si>
  <si>
    <t>Month</t>
  </si>
  <si>
    <t>พบ</t>
  </si>
  <si>
    <t>ไม่พบ</t>
  </si>
  <si>
    <t>สด-จำนวนเงิน / ผ่อน-ดาวน์xผ่อนกี่งวด / ชื่อลูกค้า</t>
  </si>
  <si>
    <t>A11A0100K002599</t>
  </si>
  <si>
    <t>HONDA WAVE125 AFS125CSBT 2TH นต.-ดำ</t>
  </si>
  <si>
    <t>80</t>
  </si>
  <si>
    <t>01A1</t>
  </si>
  <si>
    <t>A03A</t>
  </si>
  <si>
    <t>JC93E-2882265</t>
  </si>
  <si>
    <t>YPRDRFC</t>
  </si>
  <si>
    <t>01</t>
  </si>
  <si>
    <t>MLHJC932XT5882263</t>
  </si>
  <si>
    <t>A11A0100K002617</t>
  </si>
  <si>
    <t>HONDA WAVE110 AFS110MSBT TH ดำ-น้ำตาล</t>
  </si>
  <si>
    <t>189</t>
  </si>
  <si>
    <t>JA74E-4121764</t>
  </si>
  <si>
    <t>MLHJA7441T5121762</t>
  </si>
  <si>
    <t>A11A0100K002628</t>
  </si>
  <si>
    <t>HONDA WAVE110 AFS110MCBT 2TH เทา-น้ำตาล</t>
  </si>
  <si>
    <t>307</t>
  </si>
  <si>
    <t>JA74E-1452204</t>
  </si>
  <si>
    <t>MLHJA7402T5452203</t>
  </si>
  <si>
    <t>A11A0100K002629</t>
  </si>
  <si>
    <t>HONDA WAVE110 AFS110MCBT 3TH ดำ-น้ำตาล</t>
  </si>
  <si>
    <t>137</t>
  </si>
  <si>
    <t>JA74E-1428959</t>
  </si>
  <si>
    <t>MLHJA7401T5428958</t>
  </si>
  <si>
    <t>602</t>
  </si>
  <si>
    <t>JA74E-1482491</t>
  </si>
  <si>
    <t>MLHJA7407T5482491</t>
  </si>
  <si>
    <t>A11A010NJ000509</t>
  </si>
  <si>
    <t>VESPA LX150 IGET ABS MY25 ขาว</t>
  </si>
  <si>
    <t>167</t>
  </si>
  <si>
    <t>M68FM5018812</t>
  </si>
  <si>
    <t>RP8M68702TV006424</t>
  </si>
  <si>
    <t>A11A0204M001045</t>
  </si>
  <si>
    <t>ทีวีสี SAMSUNG LED 55" UHD UA55U8000FK</t>
  </si>
  <si>
    <t>163</t>
  </si>
  <si>
    <t>0Y683NGL105396</t>
  </si>
  <si>
    <t/>
  </si>
  <si>
    <t>A11A020CZ000915</t>
  </si>
  <si>
    <t>ทีวีสี LG LED 43'' UHD 43NANO80ASA.ATM</t>
  </si>
  <si>
    <t>98</t>
  </si>
  <si>
    <t>602INWA2C929</t>
  </si>
  <si>
    <t>103</t>
  </si>
  <si>
    <t>602INNG2C927</t>
  </si>
  <si>
    <t>A11A020GB000114</t>
  </si>
  <si>
    <t>ทีวีสี TCL QLED 43" UHD 43S5K</t>
  </si>
  <si>
    <t>30</t>
  </si>
  <si>
    <t>2603DTJ261H05400131</t>
  </si>
  <si>
    <t>31</t>
  </si>
  <si>
    <t>2603DTJ261H05400160</t>
  </si>
  <si>
    <t>A11A0A00J000309</t>
  </si>
  <si>
    <t>ตู้เย็น HITACHI HRTN5255MPSVTH เงินOL</t>
  </si>
  <si>
    <t>1846</t>
  </si>
  <si>
    <t>990112103627260011070201</t>
  </si>
  <si>
    <t>A11A0A00J000320</t>
  </si>
  <si>
    <t>ตู้เย็น HITACHI HRTN6379SXTH</t>
  </si>
  <si>
    <t>301</t>
  </si>
  <si>
    <t>990112103677260001310101</t>
  </si>
  <si>
    <t>A11A0A04M000327</t>
  </si>
  <si>
    <t>ตู้เย็น SAMSUNG RT22FGRADB1/ST ดำ</t>
  </si>
  <si>
    <t>290</t>
  </si>
  <si>
    <t>0JDX4DAL200187</t>
  </si>
  <si>
    <t>A11A0A04M000345</t>
  </si>
  <si>
    <t>ตู้เย็น SAMSUNG RT38CG6020S9ST</t>
  </si>
  <si>
    <t>732</t>
  </si>
  <si>
    <t>0LEL4DAL200539</t>
  </si>
  <si>
    <t>A11A0B02O000329</t>
  </si>
  <si>
    <t>แอร์ PANASONIC CSYN9YKT</t>
  </si>
  <si>
    <t>714</t>
  </si>
  <si>
    <t>CS-YN9YKT-1351100040</t>
  </si>
  <si>
    <t>A11A0B02O000335</t>
  </si>
  <si>
    <t>แอร์ PANASONIC CSYU9ZKT</t>
  </si>
  <si>
    <t>2106</t>
  </si>
  <si>
    <t>CS-YU9ZKT-3351300428</t>
  </si>
  <si>
    <t>A11A0B0EA000056</t>
  </si>
  <si>
    <t>แอร์ HAIER HSU-10CQRC03T</t>
  </si>
  <si>
    <t>160</t>
  </si>
  <si>
    <t>AAADN5000N1INR4BXFVJ</t>
  </si>
  <si>
    <t>161</t>
  </si>
  <si>
    <t>AAADN5000N1INR4BWSGE</t>
  </si>
  <si>
    <t>A11A0B0EA000129</t>
  </si>
  <si>
    <t>แอร์ HAIER HSU-12VRRA05</t>
  </si>
  <si>
    <t>46</t>
  </si>
  <si>
    <t>AAD2A100022N2S43J7K5</t>
  </si>
  <si>
    <t>47</t>
  </si>
  <si>
    <t>AAD2A100033N3S2LUCKP</t>
  </si>
  <si>
    <t>A11A0C01Q000066</t>
  </si>
  <si>
    <t>พัดลม SHARP PJST163CG เทา</t>
  </si>
  <si>
    <t>397</t>
  </si>
  <si>
    <t>A11A0C01Q000105</t>
  </si>
  <si>
    <t>พัดลม SHARP PJSL165 ขาว</t>
  </si>
  <si>
    <t>8312</t>
  </si>
  <si>
    <t>A11A0C01Q000106</t>
  </si>
  <si>
    <t>พัดลม SHARP PJSL165 ฟ้าอ่อน</t>
  </si>
  <si>
    <t>7840</t>
  </si>
  <si>
    <t>A11A0C01Q000107</t>
  </si>
  <si>
    <t>พัดลม SHARP PJSL165 เขียวอ่อน</t>
  </si>
  <si>
    <t>7856</t>
  </si>
  <si>
    <t>7857</t>
  </si>
  <si>
    <t>A11A0C01Q000110</t>
  </si>
  <si>
    <t>พัดลม SHARP PJSL165 เทา</t>
  </si>
  <si>
    <t>7859</t>
  </si>
  <si>
    <t>A11A0C01Q000118</t>
  </si>
  <si>
    <t>พัดลม SHARP PJSL182 ดำ</t>
  </si>
  <si>
    <t>38</t>
  </si>
  <si>
    <t>52</t>
  </si>
  <si>
    <t>53</t>
  </si>
  <si>
    <t>A11A0C029000009</t>
  </si>
  <si>
    <t>พัดลม KAWA COSMOR</t>
  </si>
  <si>
    <t>491741</t>
  </si>
  <si>
    <t>491742</t>
  </si>
  <si>
    <t>491743</t>
  </si>
  <si>
    <t>491744</t>
  </si>
  <si>
    <t>493489</t>
  </si>
  <si>
    <t>493491</t>
  </si>
  <si>
    <t>493492</t>
  </si>
  <si>
    <t>493493</t>
  </si>
  <si>
    <t>493494</t>
  </si>
  <si>
    <t>493495</t>
  </si>
  <si>
    <t>493496</t>
  </si>
  <si>
    <t>A11A0C02D000371</t>
  </si>
  <si>
    <t>พัดลม HATARI HTW16R6 ดำ</t>
  </si>
  <si>
    <t>94</t>
  </si>
  <si>
    <t>A11A0C02D000408</t>
  </si>
  <si>
    <t>พัดลม HATARI S16M1 ฟ้า</t>
  </si>
  <si>
    <t>335</t>
  </si>
  <si>
    <t>336</t>
  </si>
  <si>
    <t>A11A0C02D000409</t>
  </si>
  <si>
    <t>พัดลม HATARI S16M1 ชมพู</t>
  </si>
  <si>
    <t>221</t>
  </si>
  <si>
    <t>222</t>
  </si>
  <si>
    <t>A11A0C09M000068</t>
  </si>
  <si>
    <t>พัดลม IMARFLEX IF966 ฟ้า</t>
  </si>
  <si>
    <t>408</t>
  </si>
  <si>
    <t>409</t>
  </si>
  <si>
    <t>A11A0C09M000075</t>
  </si>
  <si>
    <t>พัดลม IMARFLEX IF966 เขียว</t>
  </si>
  <si>
    <t>278</t>
  </si>
  <si>
    <t>353</t>
  </si>
  <si>
    <t>354</t>
  </si>
  <si>
    <t>355</t>
  </si>
  <si>
    <t>A11A0C09M000088</t>
  </si>
  <si>
    <t>พัดลม IMARFLEX IF962X ฟ้า</t>
  </si>
  <si>
    <t>111</t>
  </si>
  <si>
    <t>A11A0C0NC000012</t>
  </si>
  <si>
    <t>พัดลม KASHIWA FS2201</t>
  </si>
  <si>
    <t>466</t>
  </si>
  <si>
    <t>A11A0C0TD000094</t>
  </si>
  <si>
    <t>พัดลมไอเย็น KOOL AC801 Double Cool เทา</t>
  </si>
  <si>
    <t>808</t>
  </si>
  <si>
    <t>809</t>
  </si>
  <si>
    <t>A11A0C0UX000019</t>
  </si>
  <si>
    <t>พัดลม Victor BX211 ฟ้าพาสเทล</t>
  </si>
  <si>
    <t>150</t>
  </si>
  <si>
    <t>A11A0L00J000419</t>
  </si>
  <si>
    <t>ค.ซักผ้า HITACHI LTT16JWT</t>
  </si>
  <si>
    <t>990324100362260011200201</t>
  </si>
  <si>
    <t>A11A0L04M000343</t>
  </si>
  <si>
    <t>ค.ซักผ้า SAMSUNG WT16B5240BA</t>
  </si>
  <si>
    <t>839</t>
  </si>
  <si>
    <t>0K065DCL202577</t>
  </si>
  <si>
    <t>A11A0L0CZ000383</t>
  </si>
  <si>
    <t>ค.ซักผ้า LG T2517VBTM</t>
  </si>
  <si>
    <t>420</t>
  </si>
  <si>
    <t>601TWZH8E365</t>
  </si>
  <si>
    <t>A11A0L0EA000045</t>
  </si>
  <si>
    <t>ค.ซักผ้า HAIER HWM150-B1678ES8</t>
  </si>
  <si>
    <t>72</t>
  </si>
  <si>
    <t>CBAJZ7E0200C7RCU0092</t>
  </si>
  <si>
    <t>A11A0Y03X001158</t>
  </si>
  <si>
    <t>ท.มือถือ APPLE IP 15 128GB นง</t>
  </si>
  <si>
    <t>441</t>
  </si>
  <si>
    <t>359867887651569</t>
  </si>
  <si>
    <t>A11A0Y04M001682</t>
  </si>
  <si>
    <t>ท.มือถือ SAMSUNG GX A07 5G 6/128GB ม่วง</t>
  </si>
  <si>
    <t>26</t>
  </si>
  <si>
    <t>350252033030704</t>
  </si>
  <si>
    <t>A11A0Y0PH000758</t>
  </si>
  <si>
    <t>ท.มือถือ OPPO A6s 5G 8/128GB ขาว</t>
  </si>
  <si>
    <t>99</t>
  </si>
  <si>
    <t>860382080298392</t>
  </si>
  <si>
    <t>A11A0Y0U4000201</t>
  </si>
  <si>
    <t>ท.มือถือ XIAOMI RM NOTE 12P 8/256GB ขาว</t>
  </si>
  <si>
    <t>5</t>
  </si>
  <si>
    <t>861485065964661</t>
  </si>
  <si>
    <t>A11A0Y0U4000382</t>
  </si>
  <si>
    <t>ท.มือถือ XIAOMI RM A7 Pro 4/64GB เขียว</t>
  </si>
  <si>
    <t>57</t>
  </si>
  <si>
    <t>866704088850227</t>
  </si>
  <si>
    <t>A11A0Y0U4000383</t>
  </si>
  <si>
    <t>ท.มือถือ XIAOMI RM A7 Pro 4/64GB ดำ</t>
  </si>
  <si>
    <t>58</t>
  </si>
  <si>
    <t>866704087836508</t>
  </si>
  <si>
    <t>A11A0Y0W5000462</t>
  </si>
  <si>
    <t>ท.มือถือ VIVO V70FE 8/256GB เงิน</t>
  </si>
  <si>
    <t>121</t>
  </si>
  <si>
    <t>860812087104334</t>
  </si>
  <si>
    <t>A11A0Y0W5000470</t>
  </si>
  <si>
    <t>ท.มือถือ VIVO Y31d 6/128GB เทา</t>
  </si>
  <si>
    <t>136</t>
  </si>
  <si>
    <t>866911083222894</t>
  </si>
  <si>
    <t>A11A0Y10L000031</t>
  </si>
  <si>
    <t>ท.มือถือ INFINIX GT30 PRO 5G 12/512 ดำ</t>
  </si>
  <si>
    <t>49</t>
  </si>
  <si>
    <t>352479234601425</t>
  </si>
  <si>
    <t>A11A0Y11D000003</t>
  </si>
  <si>
    <t>ท.มือถือ Tecno SPARK GO 2 4/64GB ขาว</t>
  </si>
  <si>
    <t>83</t>
  </si>
  <si>
    <t>352828414543601</t>
  </si>
  <si>
    <t>A11A140XW000019</t>
  </si>
  <si>
    <t>HIKVISION EASYLINK NKS424W03H WIFIKIT+SD</t>
  </si>
  <si>
    <t>45</t>
  </si>
  <si>
    <t>FN7307988</t>
  </si>
  <si>
    <t>+SD128GB</t>
  </si>
  <si>
    <t>68</t>
  </si>
  <si>
    <t>FN7307902</t>
  </si>
  <si>
    <t>A11A1P04L000019</t>
  </si>
  <si>
    <t>ค.เสียงพกพา AIWA MIX155 Plus Pro White</t>
  </si>
  <si>
    <t>42</t>
  </si>
  <si>
    <t>A11A1P04L000022</t>
  </si>
  <si>
    <t>ค.เสียงพกพา AIWA MIX380 Cube Box Orange</t>
  </si>
  <si>
    <t>35</t>
  </si>
  <si>
    <t>A11A3603X000909</t>
  </si>
  <si>
    <t>TABLET APPLE IPAD 11GEN 128GB WIFI ง</t>
  </si>
  <si>
    <t>892</t>
  </si>
  <si>
    <t>SL2R91MW9CT</t>
  </si>
  <si>
    <t>893</t>
  </si>
  <si>
    <t>SGPY6LC4C2Q</t>
  </si>
  <si>
    <t>A11A3603X000910</t>
  </si>
  <si>
    <t>TABLET APPLE IPAD 11GEN 128GB WIFI ฟ</t>
  </si>
  <si>
    <t>702</t>
  </si>
  <si>
    <t>SL56PX2CYV9</t>
  </si>
  <si>
    <t>703</t>
  </si>
  <si>
    <t>SGWC7H27H2J</t>
  </si>
  <si>
    <t>A11A3604M000206</t>
  </si>
  <si>
    <t>TABLET SAMSUNG GALAXY TAB A11 8/128_LTE</t>
  </si>
  <si>
    <t>357778643143233</t>
  </si>
  <si>
    <t>A4CA0M0NC000040</t>
  </si>
  <si>
    <t>หม้อสุกี้ KW108 + กาต้มน้ำ EK189</t>
  </si>
  <si>
    <t>3202</t>
  </si>
  <si>
    <t>A4CA0M0ND000006</t>
  </si>
  <si>
    <t>เตาย่างบาร์บีคิว OXYGEN KW502/KW501</t>
  </si>
  <si>
    <t>6804</t>
  </si>
  <si>
    <t>6805</t>
  </si>
  <si>
    <t>6806</t>
  </si>
  <si>
    <t>A4DA0M0NC000023</t>
  </si>
  <si>
    <t>กาต้มน้ำ KASHIWA EK-189</t>
  </si>
  <si>
    <t>4675</t>
  </si>
  <si>
    <t>A4DA0MXXX000081</t>
  </si>
  <si>
    <t>หม้อต้มอเนกประสงค์ KW-128</t>
  </si>
  <si>
    <t>9329</t>
  </si>
  <si>
    <t>9330</t>
  </si>
  <si>
    <t>9331</t>
  </si>
  <si>
    <t>9332</t>
  </si>
  <si>
    <t>9333</t>
  </si>
  <si>
    <t>A4DA0MXXX000095</t>
  </si>
  <si>
    <t>หม้อสุกี้ KW209</t>
  </si>
  <si>
    <t>1442</t>
  </si>
  <si>
    <t>1443</t>
  </si>
  <si>
    <t>1444</t>
  </si>
  <si>
    <t>1665</t>
  </si>
  <si>
    <t>1666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</si>
</sst>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7" formatCode="[$-1070000]d/m/yy;@"/>
    <numFmt numFmtId="188" formatCode="[$-1070000]d/mm/yyyy;@"/>
  </numFmts>
  <fonts count="24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6"/>
      <name val="Tahoma"/>
      <family val="2"/>
      <scheme val="major"/>
    </font>
    <font>
      <b/>
      <sz val="18"/>
      <name val="Tahoma"/>
      <family val="2"/>
      <scheme val="major"/>
    </font>
    <font>
      <b/>
      <sz val="18"/>
      <color rgb="FF0000CC"/>
      <name val="Tahoma"/>
      <family val="2"/>
      <scheme val="major"/>
    </font>
    <font>
      <sz val="11"/>
      <name val="Tahoma"/>
      <family val="2"/>
      <scheme val="major"/>
    </font>
    <font>
      <sz val="11"/>
      <color indexed="12"/>
      <name val="Tahoma"/>
      <family val="2"/>
      <scheme val="major"/>
    </font>
    <font>
      <sz val="11"/>
      <color rgb="FF0000CC"/>
      <name val="Tahoma"/>
      <family val="2"/>
      <scheme val="major"/>
    </font>
    <font>
      <b/>
      <sz val="16"/>
      <color indexed="12"/>
      <name val="Tahoma"/>
      <family val="2"/>
      <scheme val="major"/>
    </font>
    <font>
      <sz val="14"/>
      <name val="Tahoma"/>
      <family val="2"/>
    </font>
    <font>
      <sz val="11"/>
      <name val="Tahoma"/>
      <family val="2"/>
    </font>
    <font>
      <sz val="14"/>
      <color theme="0"/>
      <name val="Tahoma"/>
      <family val="2"/>
    </font>
    <font>
      <sz val="12"/>
      <name val="Tahoma"/>
      <family val="2"/>
    </font>
    <font>
      <sz val="12"/>
      <color theme="0"/>
      <name val="Tahoma"/>
      <family val="2"/>
    </font>
    <font>
      <sz val="14"/>
      <color rgb="FF0000CC"/>
      <name val="Tahoma"/>
      <family val="2"/>
    </font>
    <font>
      <sz val="12"/>
      <color rgb="FF0000CC"/>
      <name val="Tahoma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4"/>
      <color rgb="FF0000CC"/>
      <name val="Tahoma"/>
      <family val="2"/>
      <scheme val="minor"/>
    </font>
    <font>
      <sz val="16"/>
      <name val="Webdings"/>
      <family val="1"/>
      <charset val="2"/>
    </font>
    <font>
      <sz val="14"/>
      <name val="Arial"/>
      <family val="2"/>
    </font>
    <font>
      <sz val="16"/>
      <name val="AngsanaUPC"/>
      <family val="1"/>
      <charset val="222"/>
    </font>
    <font>
      <b/>
      <sz val="16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14" fontId="3" fillId="0" borderId="0" xfId="2" applyNumberFormat="1" applyFont="1" applyBorder="1" applyAlignment="1" applyProtection="1">
      <alignment vertical="center"/>
      <protection hidden="1"/>
    </xf>
    <xf numFmtId="0" fontId="4" fillId="0" borderId="0" xfId="2" applyFont="1" applyBorder="1" applyAlignment="1" applyProtection="1">
      <alignment vertical="center"/>
      <protection hidden="1"/>
    </xf>
    <xf numFmtId="0" fontId="5" fillId="0" borderId="0" xfId="2" applyFont="1" applyFill="1" applyBorder="1" applyAlignment="1" applyProtection="1">
      <alignment vertical="center"/>
      <protection hidden="1"/>
    </xf>
    <xf numFmtId="0" fontId="5" fillId="0" borderId="1" xfId="2" applyFont="1" applyFill="1" applyBorder="1" applyAlignment="1" applyProtection="1">
      <alignment vertical="center"/>
      <protection hidden="1"/>
    </xf>
    <xf numFmtId="0" fontId="6" fillId="0" borderId="0" xfId="2" applyFont="1" applyBorder="1" applyAlignment="1">
      <alignment vertical="center"/>
    </xf>
    <xf numFmtId="1" fontId="7" fillId="0" borderId="0" xfId="2" applyNumberFormat="1" applyFont="1" applyBorder="1" applyAlignment="1" applyProtection="1">
      <alignment vertical="center"/>
      <protection hidden="1"/>
    </xf>
    <xf numFmtId="0" fontId="8" fillId="0" borderId="0" xfId="2" applyFont="1" applyFill="1" applyBorder="1" applyAlignment="1" applyProtection="1">
      <alignment vertical="center"/>
      <protection hidden="1"/>
    </xf>
    <xf numFmtId="187" fontId="8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Font="1" applyBorder="1" applyAlignment="1" applyProtection="1">
      <alignment vertical="center"/>
      <protection hidden="1"/>
    </xf>
    <xf numFmtId="188" fontId="9" fillId="0" borderId="0" xfId="2" applyNumberFormat="1" applyFont="1" applyBorder="1" applyAlignment="1" applyProtection="1">
      <alignment horizontal="right" vertical="center"/>
      <protection hidden="1"/>
    </xf>
    <xf numFmtId="0" fontId="10" fillId="2" borderId="2" xfId="2" applyFont="1" applyFill="1" applyBorder="1" applyAlignment="1" applyProtection="1">
      <alignment horizontal="center" vertical="center"/>
      <protection hidden="1"/>
    </xf>
    <xf numFmtId="0" fontId="11" fillId="3" borderId="2" xfId="2" applyFont="1" applyFill="1" applyBorder="1" applyAlignment="1" applyProtection="1">
      <alignment horizontal="center" vertical="center" shrinkToFit="1"/>
      <protection hidden="1"/>
    </xf>
    <xf numFmtId="0" fontId="12" fillId="4" borderId="2" xfId="2" applyFont="1" applyFill="1" applyBorder="1" applyAlignment="1" applyProtection="1">
      <alignment horizontal="center" vertical="center" shrinkToFit="1"/>
      <protection hidden="1"/>
    </xf>
    <xf numFmtId="0" fontId="10" fillId="2" borderId="2" xfId="2" applyFont="1" applyFill="1" applyBorder="1" applyAlignment="1" applyProtection="1">
      <alignment horizontal="center" vertical="center" shrinkToFit="1"/>
      <protection hidden="1"/>
    </xf>
    <xf numFmtId="1" fontId="13" fillId="2" borderId="2" xfId="2" applyNumberFormat="1" applyFont="1" applyFill="1" applyBorder="1" applyAlignment="1" applyProtection="1">
      <alignment horizontal="center" vertical="center"/>
      <protection hidden="1"/>
    </xf>
    <xf numFmtId="188" fontId="13" fillId="2" borderId="2" xfId="2" applyNumberFormat="1" applyFont="1" applyFill="1" applyBorder="1" applyAlignment="1" applyProtection="1">
      <alignment horizontal="center" vertical="center"/>
      <protection hidden="1"/>
    </xf>
    <xf numFmtId="188" fontId="14" fillId="4" borderId="2" xfId="2" applyNumberFormat="1" applyFont="1" applyFill="1" applyBorder="1" applyAlignment="1" applyProtection="1">
      <alignment horizontal="center" vertical="center" wrapText="1"/>
      <protection hidden="1"/>
    </xf>
    <xf numFmtId="187" fontId="14" fillId="4" borderId="2" xfId="2" applyNumberFormat="1" applyFont="1" applyFill="1" applyBorder="1" applyAlignment="1" applyProtection="1">
      <alignment horizontal="center" vertical="center" wrapText="1"/>
      <protection hidden="1"/>
    </xf>
    <xf numFmtId="0" fontId="15" fillId="2" borderId="3" xfId="2" applyFont="1" applyFill="1" applyBorder="1" applyAlignment="1" applyProtection="1">
      <alignment horizontal="centerContinuous" vertical="center" shrinkToFit="1"/>
      <protection hidden="1"/>
    </xf>
    <xf numFmtId="0" fontId="10" fillId="2" borderId="3" xfId="2" applyFont="1" applyFill="1" applyBorder="1" applyAlignment="1" applyProtection="1">
      <alignment horizontal="centerContinuous" vertical="center"/>
      <protection hidden="1"/>
    </xf>
    <xf numFmtId="0" fontId="10" fillId="2" borderId="4" xfId="2" applyFont="1" applyFill="1" applyBorder="1" applyAlignment="1" applyProtection="1">
      <alignment horizontal="center" vertical="center"/>
      <protection hidden="1"/>
    </xf>
    <xf numFmtId="0" fontId="11" fillId="3" borderId="4" xfId="2" applyFont="1" applyFill="1" applyBorder="1" applyAlignment="1" applyProtection="1">
      <alignment horizontal="center" vertical="center" shrinkToFit="1"/>
      <protection hidden="1"/>
    </xf>
    <xf numFmtId="0" fontId="12" fillId="4" borderId="4" xfId="2" applyFont="1" applyFill="1" applyBorder="1" applyAlignment="1" applyProtection="1">
      <alignment horizontal="center" vertical="center" shrinkToFit="1"/>
      <protection hidden="1"/>
    </xf>
    <xf numFmtId="0" fontId="10" fillId="2" borderId="4" xfId="2" applyFont="1" applyFill="1" applyBorder="1" applyAlignment="1" applyProtection="1">
      <alignment horizontal="center" vertical="center" shrinkToFit="1"/>
      <protection hidden="1"/>
    </xf>
    <xf numFmtId="1" fontId="13" fillId="2" borderId="4" xfId="2" applyNumberFormat="1" applyFont="1" applyFill="1" applyBorder="1" applyAlignment="1" applyProtection="1">
      <alignment horizontal="center" vertical="center"/>
      <protection hidden="1"/>
    </xf>
    <xf numFmtId="188" fontId="11" fillId="2" borderId="4" xfId="2" applyNumberFormat="1" applyFont="1" applyFill="1" applyBorder="1" applyAlignment="1" applyProtection="1">
      <alignment horizontal="center" vertical="center"/>
      <protection hidden="1"/>
    </xf>
    <xf numFmtId="188" fontId="14" fillId="4" borderId="4" xfId="2" applyNumberFormat="1" applyFont="1" applyFill="1" applyBorder="1" applyAlignment="1" applyProtection="1">
      <alignment horizontal="center" vertical="center" wrapText="1"/>
      <protection hidden="1"/>
    </xf>
    <xf numFmtId="187" fontId="14" fillId="4" borderId="4" xfId="2" applyNumberFormat="1" applyFont="1" applyFill="1" applyBorder="1" applyAlignment="1" applyProtection="1">
      <alignment horizontal="center" vertical="center" wrapText="1"/>
      <protection hidden="1"/>
    </xf>
    <xf numFmtId="3" fontId="16" fillId="2" borderId="3" xfId="1" applyNumberFormat="1" applyFont="1" applyFill="1" applyBorder="1" applyAlignment="1">
      <alignment horizontal="center"/>
    </xf>
    <xf numFmtId="3" fontId="16" fillId="2" borderId="3" xfId="2" applyNumberFormat="1" applyFont="1" applyFill="1" applyBorder="1" applyAlignment="1" applyProtection="1">
      <alignment horizontal="center"/>
      <protection hidden="1"/>
    </xf>
    <xf numFmtId="0" fontId="13" fillId="2" borderId="3" xfId="2" applyFont="1" applyFill="1" applyBorder="1" applyAlignment="1" applyProtection="1">
      <alignment horizontal="center" vertical="center" shrinkToFit="1"/>
      <protection hidden="1"/>
    </xf>
    <xf numFmtId="0" fontId="17" fillId="0" borderId="3" xfId="2" applyFont="1" applyBorder="1" applyAlignment="1" applyProtection="1">
      <alignment horizontal="center"/>
      <protection hidden="1"/>
    </xf>
    <xf numFmtId="0" fontId="17" fillId="0" borderId="3" xfId="2" applyFont="1" applyBorder="1" applyAlignment="1" applyProtection="1">
      <alignment horizontal="left"/>
      <protection hidden="1"/>
    </xf>
    <xf numFmtId="0" fontId="18" fillId="3" borderId="3" xfId="2" applyFont="1" applyFill="1" applyBorder="1" applyAlignment="1" applyProtection="1">
      <alignment horizontal="center"/>
      <protection hidden="1"/>
    </xf>
    <xf numFmtId="0" fontId="18" fillId="0" borderId="3" xfId="2" applyFont="1" applyFill="1" applyBorder="1" applyAlignment="1" applyProtection="1">
      <alignment horizontal="center"/>
      <protection hidden="1"/>
    </xf>
    <xf numFmtId="1" fontId="17" fillId="0" borderId="3" xfId="2" applyNumberFormat="1" applyFont="1" applyBorder="1" applyAlignment="1" applyProtection="1">
      <alignment horizontal="left" shrinkToFit="1"/>
      <protection hidden="1"/>
    </xf>
    <xf numFmtId="188" fontId="17" fillId="0" borderId="3" xfId="2" applyNumberFormat="1" applyFont="1" applyBorder="1" applyAlignment="1" applyProtection="1">
      <alignment horizontal="center"/>
      <protection hidden="1"/>
    </xf>
    <xf numFmtId="187" fontId="17" fillId="0" borderId="3" xfId="2" applyNumberFormat="1" applyFont="1" applyBorder="1" applyAlignment="1" applyProtection="1">
      <alignment horizontal="center" shrinkToFit="1"/>
      <protection hidden="1"/>
    </xf>
    <xf numFmtId="3" fontId="19" fillId="0" borderId="3" xfId="1" applyNumberFormat="1" applyFont="1" applyFill="1" applyBorder="1" applyAlignment="1">
      <alignment horizontal="center"/>
    </xf>
    <xf numFmtId="3" fontId="19" fillId="0" borderId="3" xfId="2" applyNumberFormat="1" applyFont="1" applyBorder="1" applyAlignment="1" applyProtection="1">
      <alignment horizontal="center"/>
      <protection hidden="1"/>
    </xf>
    <xf numFmtId="0" fontId="20" fillId="0" borderId="3" xfId="2" applyFont="1" applyBorder="1" applyAlignment="1" applyProtection="1">
      <alignment horizontal="center"/>
      <protection hidden="1"/>
    </xf>
    <xf numFmtId="3" fontId="21" fillId="0" borderId="3" xfId="2" applyNumberFormat="1" applyFont="1" applyBorder="1" applyAlignment="1" applyProtection="1">
      <alignment horizontal="left" vertical="center"/>
      <protection hidden="1"/>
    </xf>
    <xf numFmtId="0" fontId="22" fillId="0" borderId="0" xfId="2" applyFont="1" applyBorder="1" applyProtection="1">
      <protection hidden="1"/>
    </xf>
    <xf numFmtId="3" fontId="21" fillId="0" borderId="3" xfId="2" applyNumberFormat="1" applyFont="1" applyFill="1" applyBorder="1" applyAlignment="1" applyProtection="1">
      <alignment horizontal="left" vertical="center"/>
      <protection hidden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91;&#3634;&#3609;&#3610;&#3633;&#3597;&#3594;&#3634;/&#3592;&#3604;&#3627;&#3617;&#3634;&#3618;&#3605;&#3656;&#3634;&#3591;&#3654;/&#3591;&#3634;&#3609;2569/&#3649;&#3610;&#3610;&#3615;&#3629;&#3619;&#3660;&#3617;%20STK%20256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สต็อก(ให้จัดหน้าก่อนสั่งพิมพ์)"/>
      <sheetName val="สต็อกของแถมที่ไม่มีSN"/>
      <sheetName val="STKจากSAP"/>
      <sheetName val="เช็ครีสมี Cost Center2569"/>
    </sheetNames>
    <sheetDataSet>
      <sheetData sheetId="0"/>
      <sheetData sheetId="1"/>
      <sheetData sheetId="2"/>
      <sheetData sheetId="3">
        <row r="2">
          <cell r="C2" t="str">
            <v>รหัส</v>
          </cell>
          <cell r="D2" t="str">
            <v>BP.</v>
          </cell>
          <cell r="E2" t="str">
            <v>ตัวแทน</v>
          </cell>
        </row>
        <row r="3">
          <cell r="C3" t="str">
            <v>A02F</v>
          </cell>
          <cell r="D3">
            <v>10743</v>
          </cell>
          <cell r="E3" t="str">
            <v xml:space="preserve">[A02F]หจก.ทรัพย์ปกรณ์ ทุ่งศาลา พานิช </v>
          </cell>
        </row>
        <row r="4">
          <cell r="C4" t="str">
            <v>A02G</v>
          </cell>
          <cell r="D4">
            <v>10748</v>
          </cell>
          <cell r="E4" t="str">
            <v xml:space="preserve">[A02G]หจก.นิยมพานิช แม่ก๊า </v>
          </cell>
        </row>
        <row r="5">
          <cell r="C5" t="str">
            <v>A02N</v>
          </cell>
          <cell r="D5">
            <v>10945</v>
          </cell>
          <cell r="E5" t="str">
            <v>[A02N]หจก.นิธิกรพานิช(แม่วิน)</v>
          </cell>
        </row>
        <row r="6">
          <cell r="C6" t="str">
            <v>A02R</v>
          </cell>
          <cell r="D6">
            <v>11023</v>
          </cell>
          <cell r="E6" t="str">
            <v>[A02R]หจก.นิยมพานิชดอยหล่อ</v>
          </cell>
        </row>
        <row r="7">
          <cell r="C7" t="str">
            <v>A02S</v>
          </cell>
          <cell r="D7">
            <v>11048</v>
          </cell>
          <cell r="E7" t="str">
            <v>[A02S]หจก.นิยมพานิชกิ่วแล</v>
          </cell>
        </row>
        <row r="8">
          <cell r="C8" t="str">
            <v>A02V</v>
          </cell>
          <cell r="D8">
            <v>11078</v>
          </cell>
          <cell r="E8" t="str">
            <v>[A02V]หจก.นิยมพานิช บ้านสามหลัง</v>
          </cell>
        </row>
        <row r="9">
          <cell r="C9" t="str">
            <v>A032</v>
          </cell>
          <cell r="D9">
            <v>10016</v>
          </cell>
          <cell r="E9" t="str">
            <v>[A032]หจก.ปัญญารัตน์</v>
          </cell>
        </row>
        <row r="10">
          <cell r="C10" t="str">
            <v>A050</v>
          </cell>
          <cell r="D10">
            <v>10034</v>
          </cell>
          <cell r="E10" t="str">
            <v>[A050]หจก.วาสนาพานิช</v>
          </cell>
        </row>
        <row r="11">
          <cell r="C11" t="str">
            <v>A051</v>
          </cell>
          <cell r="D11">
            <v>10064</v>
          </cell>
          <cell r="E11" t="str">
            <v>[A051]หจก.ส.บริการมอเตอร์</v>
          </cell>
        </row>
        <row r="12">
          <cell r="C12" t="str">
            <v>A053</v>
          </cell>
          <cell r="D12">
            <v>10066</v>
          </cell>
          <cell r="E12" t="str">
            <v>[A053]หจก.พุทธิพงศ์พาณิชย์</v>
          </cell>
        </row>
        <row r="13">
          <cell r="C13" t="str">
            <v>A075</v>
          </cell>
          <cell r="D13">
            <v>10051</v>
          </cell>
          <cell r="E13" t="str">
            <v>[A075]หจก.เวียงทองพานิช</v>
          </cell>
        </row>
        <row r="14">
          <cell r="C14" t="str">
            <v>A076</v>
          </cell>
          <cell r="D14">
            <v>10068</v>
          </cell>
          <cell r="E14" t="str">
            <v>[A076]ร้านเวียงฟ้าพานิช</v>
          </cell>
        </row>
        <row r="15">
          <cell r="C15" t="str">
            <v>A078</v>
          </cell>
          <cell r="D15">
            <v>10055</v>
          </cell>
          <cell r="E15" t="str">
            <v>[A078]บจก.บุ่งฮวดพาณิชย์จอมทอง</v>
          </cell>
        </row>
        <row r="17">
          <cell r="C17" t="str">
            <v>A01B</v>
          </cell>
          <cell r="D17">
            <v>10234</v>
          </cell>
          <cell r="E17" t="str">
            <v>[A01B]หจก.มณีศรีพาณิชย์</v>
          </cell>
        </row>
        <row r="18">
          <cell r="C18" t="str">
            <v>A01P</v>
          </cell>
          <cell r="D18">
            <v>10618</v>
          </cell>
          <cell r="E18" t="str">
            <v>[A01P]หจก.นิยมพานิชเทพมงคล</v>
          </cell>
        </row>
        <row r="19">
          <cell r="C19" t="str">
            <v>A02X</v>
          </cell>
          <cell r="D19">
            <v>11109</v>
          </cell>
          <cell r="E19" t="str">
            <v>[A02X]หจก.สุขจันทร์ นิยมพานิช</v>
          </cell>
        </row>
        <row r="20">
          <cell r="C20" t="str">
            <v>A02Z</v>
          </cell>
          <cell r="D20">
            <v>11127</v>
          </cell>
          <cell r="E20" t="str">
            <v>[A02Z]หจก.นิยมพานิชเจริญฮอด</v>
          </cell>
        </row>
        <row r="21">
          <cell r="C21" t="str">
            <v>A070</v>
          </cell>
          <cell r="D21">
            <v>10069</v>
          </cell>
          <cell r="E21" t="str">
            <v>[A070]หจก.สุวรรณมอเตอร์(1995)</v>
          </cell>
        </row>
        <row r="22">
          <cell r="C22" t="str">
            <v>A072</v>
          </cell>
          <cell r="D22">
            <v>10042</v>
          </cell>
          <cell r="E22" t="str">
            <v>[A072]หจก.ป่าไผ่พานิช</v>
          </cell>
        </row>
        <row r="23">
          <cell r="C23" t="str">
            <v>A073</v>
          </cell>
          <cell r="D23">
            <v>10043</v>
          </cell>
          <cell r="E23" t="str">
            <v>[A073]บจก.บุญชัยศิริดอยเต่า </v>
          </cell>
        </row>
        <row r="24">
          <cell r="C24" t="str">
            <v>A074</v>
          </cell>
          <cell r="D24">
            <v>10044</v>
          </cell>
          <cell r="E24" t="str">
            <v>[A074]หจก.พรนภาพานิช</v>
          </cell>
        </row>
        <row r="25">
          <cell r="C25" t="str">
            <v>A079</v>
          </cell>
          <cell r="D25">
            <v>10061</v>
          </cell>
          <cell r="E25" t="str">
            <v>[A079]หจก.ศรีรัตน์โตโยต้าอมก๋อย</v>
          </cell>
        </row>
        <row r="26">
          <cell r="C26" t="str">
            <v>A081</v>
          </cell>
          <cell r="D26">
            <v>10083</v>
          </cell>
          <cell r="E26" t="str">
            <v>[A081]หจก.บ่อหลวงพานิช</v>
          </cell>
        </row>
        <row r="27">
          <cell r="C27" t="str">
            <v>A082</v>
          </cell>
          <cell r="D27">
            <v>10005</v>
          </cell>
          <cell r="E27" t="str">
            <v>[A082]หจก.พงศ์วดี</v>
          </cell>
        </row>
        <row r="29">
          <cell r="C29" t="str">
            <v>A01G</v>
          </cell>
          <cell r="D29">
            <v>10508</v>
          </cell>
          <cell r="E29" t="str">
            <v>[A01G]หจก.จิตตานันทิ์พาณิชย์</v>
          </cell>
        </row>
        <row r="30">
          <cell r="C30" t="str">
            <v>A01K</v>
          </cell>
          <cell r="D30">
            <v>10525</v>
          </cell>
          <cell r="E30" t="str">
            <v>[A01K]หจก.สุวพงศ์ พานิช</v>
          </cell>
        </row>
        <row r="31">
          <cell r="C31" t="str">
            <v>A01L</v>
          </cell>
          <cell r="D31">
            <v>10528</v>
          </cell>
          <cell r="E31" t="str">
            <v>[A01L]หจก.นิยมพานิชบ้านโฮ่ง</v>
          </cell>
        </row>
        <row r="32">
          <cell r="C32" t="str">
            <v>A01Z</v>
          </cell>
          <cell r="D32">
            <v>10717</v>
          </cell>
          <cell r="E32" t="str">
            <v>[A01Z]หจก.นิยมพานิชบ้านแซม</v>
          </cell>
        </row>
        <row r="33">
          <cell r="C33" t="str">
            <v>A02H</v>
          </cell>
          <cell r="D33">
            <v>10749</v>
          </cell>
          <cell r="E33" t="str">
            <v>[A02H]หจก.นิยมพานิช หล่ายแก้ว</v>
          </cell>
        </row>
        <row r="34">
          <cell r="C34" t="str">
            <v>A048</v>
          </cell>
          <cell r="D34">
            <v>10010</v>
          </cell>
          <cell r="E34" t="str">
            <v>[A048]หจก.ลำพูนวงศ์วาส อิเลคโทรนิกส์</v>
          </cell>
        </row>
        <row r="35">
          <cell r="C35" t="str">
            <v>A054</v>
          </cell>
          <cell r="D35">
            <v>10074</v>
          </cell>
          <cell r="E35" t="str">
            <v>[A054]หจก.ปัญจบุรีพานิช</v>
          </cell>
        </row>
        <row r="36">
          <cell r="C36" t="str">
            <v>A057</v>
          </cell>
          <cell r="D36">
            <v>10029</v>
          </cell>
          <cell r="E36" t="str">
            <v>[A057]หจก.แม่ทาพานิช</v>
          </cell>
        </row>
        <row r="37">
          <cell r="C37" t="str">
            <v>A059</v>
          </cell>
          <cell r="D37">
            <v>10057</v>
          </cell>
          <cell r="E37" t="str">
            <v>[A059]หจก.ชมภูรัตน์พานิช</v>
          </cell>
        </row>
        <row r="38">
          <cell r="C38" t="str">
            <v>A060</v>
          </cell>
          <cell r="D38">
            <v>10060</v>
          </cell>
          <cell r="E38" t="str">
            <v>[A060]หจก.ห้วยไซมอเตอร์</v>
          </cell>
        </row>
        <row r="39">
          <cell r="C39" t="str">
            <v>A066</v>
          </cell>
          <cell r="D39">
            <v>10046</v>
          </cell>
          <cell r="E39" t="str">
            <v>[A066]หจก.ทรัพย์สินภัทรา</v>
          </cell>
        </row>
        <row r="41">
          <cell r="C41" t="str">
            <v>A021</v>
          </cell>
          <cell r="D41">
            <v>10067</v>
          </cell>
          <cell r="E41" t="str">
            <v>[A021]หจก.พีรญาปาย</v>
          </cell>
        </row>
        <row r="42">
          <cell r="C42" t="str">
            <v>A02B</v>
          </cell>
          <cell r="D42">
            <v>10719</v>
          </cell>
          <cell r="E42" t="str">
            <v>[A02B]หจก.นิยมพานิชทุ่งพร้าว 2555</v>
          </cell>
        </row>
        <row r="43">
          <cell r="C43" t="str">
            <v>A02I</v>
          </cell>
          <cell r="D43">
            <v>10750</v>
          </cell>
          <cell r="E43" t="str">
            <v>[A02I]หจก.นิยมพานิชปางมะผ้า</v>
          </cell>
        </row>
        <row r="44">
          <cell r="C44" t="str">
            <v>A02P</v>
          </cell>
          <cell r="D44">
            <v>11022</v>
          </cell>
          <cell r="E44" t="str">
            <v>[A02P]หจก.ชื่นชูไพรคอนผึ้ง</v>
          </cell>
        </row>
        <row r="45">
          <cell r="C45" t="str">
            <v>A083</v>
          </cell>
          <cell r="D45">
            <v>10008</v>
          </cell>
          <cell r="E45" t="str">
            <v>[A083]หจก.จิตรลดาพานิช</v>
          </cell>
        </row>
        <row r="46">
          <cell r="C46" t="str">
            <v>A084</v>
          </cell>
          <cell r="D46">
            <v>10018</v>
          </cell>
          <cell r="E46" t="str">
            <v>[A084]หจก.สิรดนัยพานิช</v>
          </cell>
        </row>
        <row r="47">
          <cell r="C47" t="str">
            <v>A085</v>
          </cell>
          <cell r="D47">
            <v>10070</v>
          </cell>
          <cell r="E47" t="str">
            <v>[A085]หจก.เค.ซี.ขุนยวม</v>
          </cell>
        </row>
        <row r="48">
          <cell r="C48" t="str">
            <v>A086</v>
          </cell>
          <cell r="D48">
            <v>10080</v>
          </cell>
          <cell r="E48" t="str">
            <v>[A086]หจก.ชื่นชูไพรมอเตอร์</v>
          </cell>
        </row>
        <row r="50">
          <cell r="C50" t="str">
            <v>A013</v>
          </cell>
          <cell r="D50">
            <v>10039</v>
          </cell>
          <cell r="E50" t="str">
            <v>[A013]หจก.แม่แตงเสรียนต์</v>
          </cell>
        </row>
        <row r="51">
          <cell r="C51" t="str">
            <v>A01A</v>
          </cell>
          <cell r="D51">
            <v>10025</v>
          </cell>
          <cell r="E51" t="str">
            <v>[A01A]หจก.นิยมแม่มาลัย</v>
          </cell>
        </row>
        <row r="52">
          <cell r="C52" t="str">
            <v>A01J</v>
          </cell>
          <cell r="D52">
            <v>10517</v>
          </cell>
          <cell r="E52" t="str">
            <v>[A01J]ร้านนิยมพานิชโป่งแยง</v>
          </cell>
        </row>
        <row r="53">
          <cell r="C53" t="str">
            <v>A01W</v>
          </cell>
          <cell r="D53">
            <v>10672</v>
          </cell>
          <cell r="E53" t="str">
            <v>[A01W]หจก.พร้าวพัฒนาพาณิชย์</v>
          </cell>
        </row>
        <row r="54">
          <cell r="C54" t="str">
            <v>A01Y</v>
          </cell>
          <cell r="D54">
            <v>10676</v>
          </cell>
          <cell r="E54" t="str">
            <v>[A01Y]หจก.ศรีมงคล นิยมพานิช</v>
          </cell>
        </row>
        <row r="55">
          <cell r="C55" t="str">
            <v>A022</v>
          </cell>
          <cell r="D55">
            <v>10072</v>
          </cell>
          <cell r="E55" t="str">
            <v>[A022]หจก.สรพงษ์พานิช</v>
          </cell>
        </row>
        <row r="56">
          <cell r="C56" t="str">
            <v>A023</v>
          </cell>
          <cell r="D56">
            <v>10082</v>
          </cell>
          <cell r="E56" t="str">
            <v>[A023]หจก.พิมพ์กมลพาณิชย์</v>
          </cell>
        </row>
        <row r="57">
          <cell r="C57" t="str">
            <v>A027</v>
          </cell>
          <cell r="D57">
            <v>10047</v>
          </cell>
          <cell r="E57" t="str">
            <v>[A027]หจก.อิมิวัฒน์พานิช</v>
          </cell>
        </row>
        <row r="58">
          <cell r="C58" t="str">
            <v>A02D</v>
          </cell>
          <cell r="D58">
            <v>10741</v>
          </cell>
          <cell r="E58" t="str">
            <v>[A02D]หจก.นิยมพานิชช่อแล</v>
          </cell>
        </row>
        <row r="59">
          <cell r="C59" t="str">
            <v>A043</v>
          </cell>
          <cell r="D59">
            <v>10027</v>
          </cell>
          <cell r="E59" t="str">
            <v>[A043]หจก.วีรพงษ์พานิช</v>
          </cell>
        </row>
        <row r="60">
          <cell r="C60" t="str">
            <v>A045</v>
          </cell>
          <cell r="D60">
            <v>10050</v>
          </cell>
          <cell r="E60" t="str">
            <v>[A045]หจก.อดุลย์มอเตอร์</v>
          </cell>
        </row>
        <row r="62">
          <cell r="C62" t="str">
            <v>A025</v>
          </cell>
          <cell r="D62">
            <v>10009</v>
          </cell>
          <cell r="E62" t="str">
            <v>[A025]หจก.ทัสมาพานิช</v>
          </cell>
        </row>
        <row r="63">
          <cell r="C63" t="str">
            <v>A026</v>
          </cell>
          <cell r="D63">
            <v>10041</v>
          </cell>
          <cell r="E63" t="str">
            <v>[A026]หจก.กฤตธรรมพานิช</v>
          </cell>
        </row>
        <row r="64">
          <cell r="C64" t="str">
            <v>A029</v>
          </cell>
          <cell r="D64">
            <v>10054</v>
          </cell>
          <cell r="E64" t="str">
            <v>[A029]ร้านสุนทราพานิช</v>
          </cell>
        </row>
        <row r="65">
          <cell r="C65" t="str">
            <v>A02E</v>
          </cell>
          <cell r="D65">
            <v>10742</v>
          </cell>
          <cell r="E65" t="str">
            <v>[A02E]หจก.นิยมพานิช ทุ่งข้าวตอก</v>
          </cell>
        </row>
        <row r="66">
          <cell r="C66" t="str">
            <v>A02J</v>
          </cell>
          <cell r="D66">
            <v>10751</v>
          </cell>
          <cell r="E66" t="str">
            <v>[A02J]หจก.กองแก้ว นิยมพานิช</v>
          </cell>
        </row>
        <row r="67">
          <cell r="C67" t="str">
            <v>A02K</v>
          </cell>
          <cell r="D67">
            <v>10752</v>
          </cell>
          <cell r="E67" t="str">
            <v>[A02K]หจก.สรรชัยการค้า</v>
          </cell>
        </row>
        <row r="68">
          <cell r="C68" t="str">
            <v>A02U</v>
          </cell>
          <cell r="D68">
            <v>11077</v>
          </cell>
          <cell r="E68" t="str">
            <v>[A02U]ร้านนิยมพานิช แม่คือ</v>
          </cell>
        </row>
        <row r="69">
          <cell r="C69" t="str">
            <v>A030</v>
          </cell>
          <cell r="D69">
            <v>10071</v>
          </cell>
          <cell r="E69" t="str">
            <v>[A030]หจก.แม่โจ้ชาญศิลป์</v>
          </cell>
        </row>
        <row r="70">
          <cell r="C70" t="str">
            <v>A031</v>
          </cell>
          <cell r="D70">
            <v>10079</v>
          </cell>
          <cell r="E70" t="str">
            <v>[A031]ร้านพงษ์สกุลพานิช</v>
          </cell>
        </row>
        <row r="71">
          <cell r="C71" t="str">
            <v>A03A</v>
          </cell>
          <cell r="D71">
            <v>11137</v>
          </cell>
          <cell r="E71" t="str">
            <v>[A03A]หจก.นิยมพานิชหนองจ๊อม</v>
          </cell>
        </row>
        <row r="72">
          <cell r="C72" t="str">
            <v>A087</v>
          </cell>
          <cell r="D72">
            <v>10916</v>
          </cell>
          <cell r="E72" t="str">
            <v>[A087]หจก.นิยมท่ารั้ว</v>
          </cell>
        </row>
        <row r="74">
          <cell r="C74" t="str">
            <v>A01I</v>
          </cell>
          <cell r="D74">
            <v>10515</v>
          </cell>
          <cell r="E74" t="str">
            <v>[A01I]หจก.นิยมพานิชท่าใหม่อิ</v>
          </cell>
        </row>
        <row r="75">
          <cell r="C75" t="str">
            <v>A01V</v>
          </cell>
          <cell r="D75">
            <v>10662</v>
          </cell>
          <cell r="E75" t="str">
            <v>[A01V]หจก.นิยมพานิช เด่นกมล</v>
          </cell>
        </row>
        <row r="76">
          <cell r="C76" t="str">
            <v>A02A</v>
          </cell>
          <cell r="D76">
            <v>10718</v>
          </cell>
          <cell r="E76" t="str">
            <v>[A02A]หจก.นิยมพานิชสันผักหวาน</v>
          </cell>
        </row>
        <row r="77">
          <cell r="C77" t="str">
            <v>A02Y</v>
          </cell>
          <cell r="D77">
            <v>11111</v>
          </cell>
          <cell r="E77" t="str">
            <v>[A02Y]หจก.นิยมพานิชห้วยทราย</v>
          </cell>
        </row>
        <row r="78">
          <cell r="C78" t="str">
            <v>A033</v>
          </cell>
          <cell r="D78">
            <v>10017</v>
          </cell>
          <cell r="E78" t="str">
            <v>[A033]หจก.สรัญญาพานิช</v>
          </cell>
        </row>
        <row r="79">
          <cell r="C79" t="str">
            <v>A036</v>
          </cell>
          <cell r="D79">
            <v>10031</v>
          </cell>
          <cell r="E79" t="str">
            <v>[A036]หจก.สนั่นบริการ</v>
          </cell>
        </row>
        <row r="80">
          <cell r="C80" t="str">
            <v>A041</v>
          </cell>
          <cell r="D80">
            <v>10001</v>
          </cell>
          <cell r="E80" t="str">
            <v>[A041]หจก.เชียงใหม่ไชยชนะพานิช  </v>
          </cell>
        </row>
        <row r="81">
          <cell r="C81" t="str">
            <v>A042</v>
          </cell>
          <cell r="D81">
            <v>10013</v>
          </cell>
          <cell r="E81" t="str">
            <v>[A042]หจก.สำราญพานิช</v>
          </cell>
        </row>
        <row r="82">
          <cell r="C82" t="str">
            <v>A046</v>
          </cell>
          <cell r="D82">
            <v>10073</v>
          </cell>
          <cell r="E82" t="str">
            <v>[A046]หจก.เด่นพานิช</v>
          </cell>
        </row>
        <row r="83">
          <cell r="C83" t="str">
            <v>A049</v>
          </cell>
          <cell r="D83">
            <v>10011</v>
          </cell>
          <cell r="E83" t="str">
            <v>[A049]หจก.เชียงใหม่ต้นต่อพานิช</v>
          </cell>
        </row>
        <row r="85">
          <cell r="C85" t="str">
            <v>A005</v>
          </cell>
          <cell r="D85">
            <v>10033</v>
          </cell>
          <cell r="E85" t="str">
            <v>[A005]หจก.บ้านคายพานิช</v>
          </cell>
        </row>
        <row r="86">
          <cell r="C86" t="str">
            <v>A006</v>
          </cell>
          <cell r="D86">
            <v>10036</v>
          </cell>
          <cell r="E86" t="str">
            <v>[A006]ร้านประเสริฐพานิช</v>
          </cell>
        </row>
        <row r="87">
          <cell r="C87" t="str">
            <v>A007</v>
          </cell>
          <cell r="D87">
            <v>10038</v>
          </cell>
          <cell r="E87" t="str">
            <v>[A007]บจก.ซันไล้ท์พานิช</v>
          </cell>
        </row>
        <row r="88">
          <cell r="C88" t="str">
            <v>A008</v>
          </cell>
          <cell r="D88">
            <v>10062</v>
          </cell>
          <cell r="E88" t="str">
            <v>[A008]หจก.ประสิทธิ์พานิช(แม่ฮ่าง)</v>
          </cell>
        </row>
        <row r="89">
          <cell r="C89" t="str">
            <v>A011</v>
          </cell>
          <cell r="D89">
            <v>10002</v>
          </cell>
          <cell r="E89" t="str">
            <v>[A011]หจก.มานพพาณิชย์</v>
          </cell>
        </row>
        <row r="90">
          <cell r="C90" t="str">
            <v>A012</v>
          </cell>
          <cell r="D90">
            <v>10026</v>
          </cell>
          <cell r="E90" t="str">
            <v>[A012]หจก.เมืองงายพานิช</v>
          </cell>
        </row>
        <row r="91">
          <cell r="C91" t="str">
            <v>A015</v>
          </cell>
          <cell r="D91">
            <v>10049</v>
          </cell>
          <cell r="E91" t="str">
            <v>[A015]หจก.ส.ธุรกิจยานยนต์</v>
          </cell>
        </row>
        <row r="92">
          <cell r="C92" t="str">
            <v>A016</v>
          </cell>
          <cell r="D92">
            <v>10940</v>
          </cell>
          <cell r="E92" t="str">
            <v>[A016]หจก.เปียงหลวงมอเตอร์</v>
          </cell>
        </row>
        <row r="93">
          <cell r="C93" t="str">
            <v>A01F</v>
          </cell>
          <cell r="D93">
            <v>10503</v>
          </cell>
          <cell r="E93" t="str">
            <v>[A01F]หจก.นิยมท่าตอน (2012)</v>
          </cell>
        </row>
        <row r="94">
          <cell r="C94" t="str">
            <v>A01N</v>
          </cell>
          <cell r="D94">
            <v>10573</v>
          </cell>
          <cell r="E94" t="str">
            <v>[A01N]หจก.นิยมพานิชทุ่งข้าวพวง</v>
          </cell>
        </row>
        <row r="95">
          <cell r="C95" t="str">
            <v>A01H</v>
          </cell>
          <cell r="D95">
            <v>10510</v>
          </cell>
          <cell r="E95" t="str">
            <v>[A01H]ร้านแสงตะวัน</v>
          </cell>
        </row>
        <row r="96">
          <cell r="C96" t="str">
            <v>A01T</v>
          </cell>
          <cell r="D96">
            <v>10626</v>
          </cell>
          <cell r="E96" t="str">
            <v>[A01T]ร้านนิยมไชยปราการ</v>
          </cell>
        </row>
        <row r="97">
          <cell r="C97" t="str">
            <v>A01U</v>
          </cell>
          <cell r="D97">
            <v>10642</v>
          </cell>
          <cell r="E97" t="str">
            <v>[A01U]หจก.รุ่งทรัพย์ทวีพาณิชย์</v>
          </cell>
        </row>
        <row r="98">
          <cell r="C98" t="str">
            <v>A02C</v>
          </cell>
          <cell r="D98">
            <v>10720</v>
          </cell>
          <cell r="E98" t="str">
            <v>[A02C]หจก.นิยมพานิช แม่งอน</v>
          </cell>
        </row>
        <row r="103">
          <cell r="C103" t="str">
            <v>AD01</v>
          </cell>
          <cell r="E103" t="str">
            <v>AD01:Depo-มานพพาณิชย์</v>
          </cell>
        </row>
        <row r="104">
          <cell r="C104" t="str">
            <v>AD02</v>
          </cell>
          <cell r="E104" t="str">
            <v>AD02:Depo-ปัญจบุรี</v>
          </cell>
        </row>
        <row r="105">
          <cell r="C105" t="str">
            <v>AD03</v>
          </cell>
          <cell r="E105" t="str">
            <v>AD03:Depo-เวียงทอง</v>
          </cell>
        </row>
        <row r="106">
          <cell r="C106" t="str">
            <v>AD04</v>
          </cell>
          <cell r="E106" t="str">
            <v>AD04:Depo-พรนภาพานิช</v>
          </cell>
        </row>
        <row r="107">
          <cell r="C107" t="str">
            <v>AD05</v>
          </cell>
          <cell r="E107" t="str">
            <v>AD05:Depo-เมืองฮอด</v>
          </cell>
        </row>
        <row r="108">
          <cell r="C108" t="str">
            <v>AD06</v>
          </cell>
          <cell r="E108" t="str">
            <v>AD06:Depo-จิตรลดา</v>
          </cell>
        </row>
        <row r="109">
          <cell r="C109" t="str">
            <v>AD07</v>
          </cell>
          <cell r="E109" t="str">
            <v>AD07:Depo-สิรดนัย</v>
          </cell>
        </row>
        <row r="110">
          <cell r="C110" t="str">
            <v>AD08</v>
          </cell>
          <cell r="E110" t="str">
            <v>AD08:Depo-พีรญาปาย</v>
          </cell>
        </row>
        <row r="111">
          <cell r="C111" t="str">
            <v>AD09</v>
          </cell>
          <cell r="E111" t="str">
            <v>AD09:Depo-เจริญฮอด</v>
          </cell>
        </row>
        <row r="112">
          <cell r="C112" t="str">
            <v>DEPO</v>
          </cell>
          <cell r="E112" t="str">
            <v>STKรวมDEPOทุกแห่ง</v>
          </cell>
        </row>
        <row r="113">
          <cell r="C113" t="str">
            <v>A000</v>
          </cell>
          <cell r="E113" t="str">
            <v>ฝ่ายกิจการตัวแทน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8"/>
  <sheetViews>
    <sheetView tabSelected="1" workbookViewId="0">
      <selection activeCell="V8" sqref="V8"/>
    </sheetView>
  </sheetViews>
  <sheetFormatPr defaultRowHeight="14.25"/>
  <cols>
    <col min="2" max="2" width="17.75" bestFit="1" customWidth="1"/>
    <col min="3" max="3" width="42.875" bestFit="1" customWidth="1"/>
    <col min="7" max="7" width="25.375" bestFit="1" customWidth="1"/>
    <col min="8" max="8" width="10.625" bestFit="1" customWidth="1"/>
    <col min="13" max="13" width="19.375" bestFit="1" customWidth="1"/>
    <col min="16" max="16" width="3.75" hidden="1" customWidth="1"/>
    <col min="17" max="17" width="6" hidden="1" customWidth="1"/>
    <col min="18" max="18" width="43.125" hidden="1" customWidth="1"/>
    <col min="19" max="19" width="0" hidden="1" customWidth="1"/>
  </cols>
  <sheetData>
    <row r="1" spans="1:18" ht="22.5">
      <c r="A1" s="1" t="s">
        <v>0</v>
      </c>
      <c r="B1" s="2"/>
      <c r="C1" s="2"/>
      <c r="D1" s="3" t="str">
        <f>VLOOKUP(F4,'[1]เช็ครีสมี Cost Center2569'!C:E,3,FALSE)</f>
        <v>[A03A]หจก.นิยมพานิชหนองจ๊อม</v>
      </c>
      <c r="E1" s="4"/>
      <c r="F1" s="5"/>
      <c r="G1" s="6"/>
      <c r="H1" s="7"/>
      <c r="I1" s="7"/>
      <c r="J1" s="8"/>
      <c r="K1" s="8"/>
      <c r="L1" s="7"/>
      <c r="M1" s="7"/>
      <c r="N1" s="7"/>
      <c r="O1" s="7"/>
      <c r="P1" s="9"/>
      <c r="Q1" s="9"/>
      <c r="R1" s="10">
        <f ca="1">TODAY()</f>
        <v>46204</v>
      </c>
    </row>
    <row r="2" spans="1:18" ht="18">
      <c r="A2" s="11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4" t="s">
        <v>6</v>
      </c>
      <c r="G2" s="15" t="s">
        <v>7</v>
      </c>
      <c r="H2" s="16" t="s">
        <v>8</v>
      </c>
      <c r="I2" s="17" t="s">
        <v>9</v>
      </c>
      <c r="J2" s="18" t="s">
        <v>10</v>
      </c>
      <c r="K2" s="18" t="s">
        <v>11</v>
      </c>
      <c r="L2" s="17" t="s">
        <v>12</v>
      </c>
      <c r="M2" s="15" t="s">
        <v>13</v>
      </c>
      <c r="N2" s="19" t="s">
        <v>14</v>
      </c>
      <c r="O2" s="19"/>
      <c r="P2" s="20" t="s">
        <v>15</v>
      </c>
      <c r="Q2" s="20"/>
      <c r="R2" s="20"/>
    </row>
    <row r="3" spans="1:18" ht="15">
      <c r="A3" s="21"/>
      <c r="B3" s="21"/>
      <c r="C3" s="21"/>
      <c r="D3" s="22"/>
      <c r="E3" s="23"/>
      <c r="F3" s="24"/>
      <c r="G3" s="25" t="s">
        <v>16</v>
      </c>
      <c r="H3" s="26" t="s">
        <v>17</v>
      </c>
      <c r="I3" s="27"/>
      <c r="J3" s="28"/>
      <c r="K3" s="28"/>
      <c r="L3" s="27"/>
      <c r="M3" s="25" t="s">
        <v>18</v>
      </c>
      <c r="N3" s="29" t="s">
        <v>19</v>
      </c>
      <c r="O3" s="30" t="s">
        <v>20</v>
      </c>
      <c r="P3" s="31" t="s">
        <v>21</v>
      </c>
      <c r="Q3" s="31" t="s">
        <v>22</v>
      </c>
      <c r="R3" s="31" t="s">
        <v>23</v>
      </c>
    </row>
    <row r="4" spans="1:18" ht="20.25">
      <c r="A4" s="32">
        <v>1</v>
      </c>
      <c r="B4" s="33" t="s">
        <v>24</v>
      </c>
      <c r="C4" s="33" t="s">
        <v>25</v>
      </c>
      <c r="D4" s="34" t="s">
        <v>26</v>
      </c>
      <c r="E4" s="35" t="s">
        <v>27</v>
      </c>
      <c r="F4" s="32" t="s">
        <v>28</v>
      </c>
      <c r="G4" s="36" t="s">
        <v>29</v>
      </c>
      <c r="H4" s="37">
        <v>46189</v>
      </c>
      <c r="I4" s="36" t="s">
        <v>30</v>
      </c>
      <c r="J4" s="38">
        <v>46185</v>
      </c>
      <c r="K4" s="38">
        <v>2958465</v>
      </c>
      <c r="L4" s="36" t="s">
        <v>31</v>
      </c>
      <c r="M4" s="36" t="s">
        <v>32</v>
      </c>
      <c r="N4" s="39">
        <f ca="1">DATEDIF(H4,$R$1,"D")</f>
        <v>15</v>
      </c>
      <c r="O4" s="40">
        <f t="shared" ref="O4:O67" ca="1" si="0">N4/30</f>
        <v>0.5</v>
      </c>
      <c r="P4" s="41"/>
      <c r="Q4" s="41"/>
      <c r="R4" s="42"/>
    </row>
    <row r="5" spans="1:18" ht="20.25">
      <c r="A5" s="32">
        <f>1+A4</f>
        <v>2</v>
      </c>
      <c r="B5" s="33" t="s">
        <v>33</v>
      </c>
      <c r="C5" s="33" t="s">
        <v>34</v>
      </c>
      <c r="D5" s="34" t="s">
        <v>35</v>
      </c>
      <c r="E5" s="35" t="s">
        <v>27</v>
      </c>
      <c r="F5" s="32" t="s">
        <v>28</v>
      </c>
      <c r="G5" s="36" t="s">
        <v>36</v>
      </c>
      <c r="H5" s="37">
        <v>46189</v>
      </c>
      <c r="I5" s="36" t="s">
        <v>30</v>
      </c>
      <c r="J5" s="38">
        <v>46186</v>
      </c>
      <c r="K5" s="38">
        <v>2958465</v>
      </c>
      <c r="L5" s="36" t="s">
        <v>31</v>
      </c>
      <c r="M5" s="36" t="s">
        <v>37</v>
      </c>
      <c r="N5" s="39">
        <f ca="1">DATEDIF(H5,$R$1,"D")</f>
        <v>15</v>
      </c>
      <c r="O5" s="40">
        <f t="shared" ca="1" si="0"/>
        <v>0.5</v>
      </c>
      <c r="P5" s="41"/>
      <c r="Q5" s="41"/>
      <c r="R5" s="42"/>
    </row>
    <row r="6" spans="1:18" ht="20.25">
      <c r="A6" s="32">
        <f t="shared" ref="A6:A69" si="1">1+A5</f>
        <v>3</v>
      </c>
      <c r="B6" s="33" t="s">
        <v>38</v>
      </c>
      <c r="C6" s="33" t="s">
        <v>39</v>
      </c>
      <c r="D6" s="34" t="s">
        <v>40</v>
      </c>
      <c r="E6" s="35" t="s">
        <v>27</v>
      </c>
      <c r="F6" s="32" t="s">
        <v>28</v>
      </c>
      <c r="G6" s="36" t="s">
        <v>41</v>
      </c>
      <c r="H6" s="37">
        <v>46091</v>
      </c>
      <c r="I6" s="36" t="s">
        <v>30</v>
      </c>
      <c r="J6" s="38">
        <v>46088</v>
      </c>
      <c r="K6" s="38">
        <v>2958465</v>
      </c>
      <c r="L6" s="36" t="s">
        <v>31</v>
      </c>
      <c r="M6" s="36" t="s">
        <v>42</v>
      </c>
      <c r="N6" s="39">
        <f ca="1">DATEDIF(H6,$R$1,"D")</f>
        <v>113</v>
      </c>
      <c r="O6" s="40">
        <f t="shared" ca="1" si="0"/>
        <v>3.7666666666666666</v>
      </c>
      <c r="P6" s="41"/>
      <c r="Q6" s="41"/>
      <c r="R6" s="42"/>
    </row>
    <row r="7" spans="1:18" ht="20.25">
      <c r="A7" s="32">
        <f t="shared" si="1"/>
        <v>4</v>
      </c>
      <c r="B7" s="33" t="s">
        <v>43</v>
      </c>
      <c r="C7" s="33" t="s">
        <v>44</v>
      </c>
      <c r="D7" s="34" t="s">
        <v>45</v>
      </c>
      <c r="E7" s="35" t="s">
        <v>27</v>
      </c>
      <c r="F7" s="32" t="s">
        <v>28</v>
      </c>
      <c r="G7" s="36" t="s">
        <v>46</v>
      </c>
      <c r="H7" s="37">
        <v>46174</v>
      </c>
      <c r="I7" s="36" t="s">
        <v>30</v>
      </c>
      <c r="J7" s="38">
        <v>46064</v>
      </c>
      <c r="K7" s="38">
        <v>2958465</v>
      </c>
      <c r="L7" s="36" t="s">
        <v>31</v>
      </c>
      <c r="M7" s="36" t="s">
        <v>47</v>
      </c>
      <c r="N7" s="39">
        <f ca="1">DATEDIF(H7,$R$1,"D")</f>
        <v>30</v>
      </c>
      <c r="O7" s="40">
        <f t="shared" ca="1" si="0"/>
        <v>1</v>
      </c>
      <c r="P7" s="41"/>
      <c r="Q7" s="41"/>
      <c r="R7" s="42"/>
    </row>
    <row r="8" spans="1:18" ht="20.25">
      <c r="A8" s="32">
        <f t="shared" si="1"/>
        <v>5</v>
      </c>
      <c r="B8" s="33" t="s">
        <v>43</v>
      </c>
      <c r="C8" s="33" t="s">
        <v>44</v>
      </c>
      <c r="D8" s="34" t="s">
        <v>48</v>
      </c>
      <c r="E8" s="35" t="s">
        <v>27</v>
      </c>
      <c r="F8" s="32" t="s">
        <v>28</v>
      </c>
      <c r="G8" s="36" t="s">
        <v>49</v>
      </c>
      <c r="H8" s="37">
        <v>46118</v>
      </c>
      <c r="I8" s="36" t="s">
        <v>30</v>
      </c>
      <c r="J8" s="38">
        <v>46112</v>
      </c>
      <c r="K8" s="38">
        <v>2958465</v>
      </c>
      <c r="L8" s="36" t="s">
        <v>31</v>
      </c>
      <c r="M8" s="36" t="s">
        <v>50</v>
      </c>
      <c r="N8" s="39">
        <f ca="1">DATEDIF(H8,$R$1,"D")</f>
        <v>86</v>
      </c>
      <c r="O8" s="40">
        <f t="shared" ca="1" si="0"/>
        <v>2.8666666666666667</v>
      </c>
      <c r="P8" s="41"/>
      <c r="Q8" s="41"/>
      <c r="R8" s="42"/>
    </row>
    <row r="9" spans="1:18" ht="20.25">
      <c r="A9" s="32">
        <f t="shared" si="1"/>
        <v>6</v>
      </c>
      <c r="B9" s="33" t="s">
        <v>51</v>
      </c>
      <c r="C9" s="33" t="s">
        <v>52</v>
      </c>
      <c r="D9" s="34" t="s">
        <v>53</v>
      </c>
      <c r="E9" s="35" t="s">
        <v>27</v>
      </c>
      <c r="F9" s="32" t="s">
        <v>28</v>
      </c>
      <c r="G9" s="36" t="s">
        <v>54</v>
      </c>
      <c r="H9" s="37">
        <v>46150</v>
      </c>
      <c r="I9" s="36" t="s">
        <v>30</v>
      </c>
      <c r="J9" s="38">
        <v>46116</v>
      </c>
      <c r="K9" s="38">
        <v>2958465</v>
      </c>
      <c r="L9" s="36" t="s">
        <v>31</v>
      </c>
      <c r="M9" s="36" t="s">
        <v>55</v>
      </c>
      <c r="N9" s="39">
        <f ca="1">DATEDIF(H9,$R$1,"D")</f>
        <v>54</v>
      </c>
      <c r="O9" s="40">
        <f t="shared" ca="1" si="0"/>
        <v>1.8</v>
      </c>
      <c r="P9" s="41"/>
      <c r="Q9" s="41"/>
      <c r="R9" s="42"/>
    </row>
    <row r="10" spans="1:18" ht="20.25">
      <c r="A10" s="32">
        <f t="shared" si="1"/>
        <v>7</v>
      </c>
      <c r="B10" s="33" t="s">
        <v>56</v>
      </c>
      <c r="C10" s="33" t="s">
        <v>57</v>
      </c>
      <c r="D10" s="34" t="s">
        <v>58</v>
      </c>
      <c r="E10" s="35" t="s">
        <v>27</v>
      </c>
      <c r="F10" s="32" t="s">
        <v>28</v>
      </c>
      <c r="G10" s="36" t="s">
        <v>59</v>
      </c>
      <c r="H10" s="37">
        <v>46067</v>
      </c>
      <c r="I10" s="36" t="s">
        <v>30</v>
      </c>
      <c r="J10" s="38">
        <v>46065</v>
      </c>
      <c r="K10" s="38">
        <v>2958465</v>
      </c>
      <c r="L10" s="36" t="s">
        <v>31</v>
      </c>
      <c r="M10" s="36" t="s">
        <v>60</v>
      </c>
      <c r="N10" s="39">
        <f ca="1">DATEDIF(H10,$R$1,"D")</f>
        <v>137</v>
      </c>
      <c r="O10" s="40">
        <f t="shared" ca="1" si="0"/>
        <v>4.5666666666666664</v>
      </c>
      <c r="P10" s="41"/>
      <c r="Q10" s="41"/>
      <c r="R10" s="42"/>
    </row>
    <row r="11" spans="1:18" ht="20.25">
      <c r="A11" s="32">
        <f t="shared" si="1"/>
        <v>8</v>
      </c>
      <c r="B11" s="33" t="s">
        <v>61</v>
      </c>
      <c r="C11" s="33" t="s">
        <v>62</v>
      </c>
      <c r="D11" s="34" t="s">
        <v>63</v>
      </c>
      <c r="E11" s="35" t="s">
        <v>27</v>
      </c>
      <c r="F11" s="32" t="s">
        <v>28</v>
      </c>
      <c r="G11" s="36" t="s">
        <v>64</v>
      </c>
      <c r="H11" s="37">
        <v>46189</v>
      </c>
      <c r="I11" s="36" t="s">
        <v>30</v>
      </c>
      <c r="J11" s="38">
        <v>46088</v>
      </c>
      <c r="K11" s="38">
        <v>2958465</v>
      </c>
      <c r="L11" s="36" t="s">
        <v>31</v>
      </c>
      <c r="M11" s="36" t="s">
        <v>60</v>
      </c>
      <c r="N11" s="39">
        <f ca="1">DATEDIF(H11,$R$1,"D")</f>
        <v>15</v>
      </c>
      <c r="O11" s="40">
        <f t="shared" ca="1" si="0"/>
        <v>0.5</v>
      </c>
      <c r="P11" s="41"/>
      <c r="Q11" s="41"/>
      <c r="R11" s="42"/>
    </row>
    <row r="12" spans="1:18" ht="20.25">
      <c r="A12" s="32">
        <f t="shared" si="1"/>
        <v>9</v>
      </c>
      <c r="B12" s="33" t="s">
        <v>61</v>
      </c>
      <c r="C12" s="33" t="s">
        <v>62</v>
      </c>
      <c r="D12" s="34" t="s">
        <v>65</v>
      </c>
      <c r="E12" s="35" t="s">
        <v>27</v>
      </c>
      <c r="F12" s="32" t="s">
        <v>28</v>
      </c>
      <c r="G12" s="36" t="s">
        <v>66</v>
      </c>
      <c r="H12" s="37">
        <v>46189</v>
      </c>
      <c r="I12" s="36" t="s">
        <v>30</v>
      </c>
      <c r="J12" s="38">
        <v>46088</v>
      </c>
      <c r="K12" s="38">
        <v>2958465</v>
      </c>
      <c r="L12" s="36" t="s">
        <v>31</v>
      </c>
      <c r="M12" s="36" t="s">
        <v>60</v>
      </c>
      <c r="N12" s="39">
        <f ca="1">DATEDIF(H12,$R$1,"D")</f>
        <v>15</v>
      </c>
      <c r="O12" s="40">
        <f t="shared" ca="1" si="0"/>
        <v>0.5</v>
      </c>
      <c r="P12" s="41"/>
      <c r="Q12" s="41"/>
      <c r="R12" s="42"/>
    </row>
    <row r="13" spans="1:18" ht="20.25">
      <c r="A13" s="32">
        <f t="shared" si="1"/>
        <v>10</v>
      </c>
      <c r="B13" s="33" t="s">
        <v>67</v>
      </c>
      <c r="C13" s="33" t="s">
        <v>68</v>
      </c>
      <c r="D13" s="34" t="s">
        <v>69</v>
      </c>
      <c r="E13" s="35" t="s">
        <v>27</v>
      </c>
      <c r="F13" s="32" t="s">
        <v>28</v>
      </c>
      <c r="G13" s="36" t="s">
        <v>70</v>
      </c>
      <c r="H13" s="37">
        <v>46189</v>
      </c>
      <c r="I13" s="36" t="s">
        <v>30</v>
      </c>
      <c r="J13" s="38">
        <v>46123</v>
      </c>
      <c r="K13" s="38">
        <v>2958465</v>
      </c>
      <c r="L13" s="36" t="s">
        <v>31</v>
      </c>
      <c r="M13" s="36" t="s">
        <v>60</v>
      </c>
      <c r="N13" s="39">
        <f ca="1">DATEDIF(H13,$R$1,"D")</f>
        <v>15</v>
      </c>
      <c r="O13" s="40">
        <f t="shared" ca="1" si="0"/>
        <v>0.5</v>
      </c>
      <c r="P13" s="41"/>
      <c r="Q13" s="41"/>
      <c r="R13" s="42"/>
    </row>
    <row r="14" spans="1:18" ht="20.25">
      <c r="A14" s="32">
        <f t="shared" si="1"/>
        <v>11</v>
      </c>
      <c r="B14" s="33" t="s">
        <v>67</v>
      </c>
      <c r="C14" s="33" t="s">
        <v>68</v>
      </c>
      <c r="D14" s="34" t="s">
        <v>71</v>
      </c>
      <c r="E14" s="35" t="s">
        <v>27</v>
      </c>
      <c r="F14" s="32" t="s">
        <v>28</v>
      </c>
      <c r="G14" s="36" t="s">
        <v>72</v>
      </c>
      <c r="H14" s="37">
        <v>46189</v>
      </c>
      <c r="I14" s="36" t="s">
        <v>30</v>
      </c>
      <c r="J14" s="38">
        <v>46123</v>
      </c>
      <c r="K14" s="38">
        <v>2958465</v>
      </c>
      <c r="L14" s="36" t="s">
        <v>31</v>
      </c>
      <c r="M14" s="36" t="s">
        <v>60</v>
      </c>
      <c r="N14" s="39">
        <f ca="1">DATEDIF(H14,$R$1,"D")</f>
        <v>15</v>
      </c>
      <c r="O14" s="40">
        <f t="shared" ca="1" si="0"/>
        <v>0.5</v>
      </c>
      <c r="P14" s="41"/>
      <c r="Q14" s="41"/>
      <c r="R14" s="42"/>
    </row>
    <row r="15" spans="1:18" ht="20.25">
      <c r="A15" s="32">
        <f t="shared" si="1"/>
        <v>12</v>
      </c>
      <c r="B15" s="33" t="s">
        <v>73</v>
      </c>
      <c r="C15" s="33" t="s">
        <v>74</v>
      </c>
      <c r="D15" s="34" t="s">
        <v>75</v>
      </c>
      <c r="E15" s="35" t="s">
        <v>27</v>
      </c>
      <c r="F15" s="32" t="s">
        <v>28</v>
      </c>
      <c r="G15" s="36" t="s">
        <v>76</v>
      </c>
      <c r="H15" s="37">
        <v>46077</v>
      </c>
      <c r="I15" s="36" t="s">
        <v>30</v>
      </c>
      <c r="J15" s="38">
        <v>46072</v>
      </c>
      <c r="K15" s="38">
        <v>2958465</v>
      </c>
      <c r="L15" s="36" t="s">
        <v>31</v>
      </c>
      <c r="M15" s="36" t="s">
        <v>60</v>
      </c>
      <c r="N15" s="39">
        <f ca="1">DATEDIF(H15,$R$1,"D")</f>
        <v>127</v>
      </c>
      <c r="O15" s="40">
        <f t="shared" ca="1" si="0"/>
        <v>4.2333333333333334</v>
      </c>
      <c r="P15" s="41"/>
      <c r="Q15" s="41"/>
      <c r="R15" s="42"/>
    </row>
    <row r="16" spans="1:18" ht="20.25">
      <c r="A16" s="32">
        <f t="shared" si="1"/>
        <v>13</v>
      </c>
      <c r="B16" s="33" t="s">
        <v>77</v>
      </c>
      <c r="C16" s="33" t="s">
        <v>78</v>
      </c>
      <c r="D16" s="34" t="s">
        <v>79</v>
      </c>
      <c r="E16" s="35" t="s">
        <v>27</v>
      </c>
      <c r="F16" s="32" t="s">
        <v>28</v>
      </c>
      <c r="G16" s="36" t="s">
        <v>80</v>
      </c>
      <c r="H16" s="37">
        <v>46056</v>
      </c>
      <c r="I16" s="36" t="s">
        <v>30</v>
      </c>
      <c r="J16" s="38">
        <v>46049</v>
      </c>
      <c r="K16" s="38">
        <v>2958465</v>
      </c>
      <c r="L16" s="36" t="s">
        <v>31</v>
      </c>
      <c r="M16" s="36" t="s">
        <v>60</v>
      </c>
      <c r="N16" s="39">
        <f ca="1">DATEDIF(H16,$R$1,"D")</f>
        <v>148</v>
      </c>
      <c r="O16" s="40">
        <f t="shared" ca="1" si="0"/>
        <v>4.9333333333333336</v>
      </c>
      <c r="P16" s="41"/>
      <c r="Q16" s="41"/>
      <c r="R16" s="42"/>
    </row>
    <row r="17" spans="1:18" ht="20.25">
      <c r="A17" s="32">
        <f t="shared" si="1"/>
        <v>14</v>
      </c>
      <c r="B17" s="33" t="s">
        <v>81</v>
      </c>
      <c r="C17" s="33" t="s">
        <v>82</v>
      </c>
      <c r="D17" s="34" t="s">
        <v>83</v>
      </c>
      <c r="E17" s="35" t="s">
        <v>27</v>
      </c>
      <c r="F17" s="32" t="s">
        <v>28</v>
      </c>
      <c r="G17" s="36" t="s">
        <v>84</v>
      </c>
      <c r="H17" s="37">
        <v>46077</v>
      </c>
      <c r="I17" s="36" t="s">
        <v>30</v>
      </c>
      <c r="J17" s="38">
        <v>46066</v>
      </c>
      <c r="K17" s="38">
        <v>2958465</v>
      </c>
      <c r="L17" s="36" t="s">
        <v>31</v>
      </c>
      <c r="M17" s="36" t="s">
        <v>60</v>
      </c>
      <c r="N17" s="39">
        <f ca="1">DATEDIF(H17,$R$1,"D")</f>
        <v>127</v>
      </c>
      <c r="O17" s="40">
        <f t="shared" ca="1" si="0"/>
        <v>4.2333333333333334</v>
      </c>
      <c r="P17" s="41"/>
      <c r="Q17" s="41"/>
      <c r="R17" s="42"/>
    </row>
    <row r="18" spans="1:18" ht="20.25">
      <c r="A18" s="32">
        <f t="shared" si="1"/>
        <v>15</v>
      </c>
      <c r="B18" s="33" t="s">
        <v>85</v>
      </c>
      <c r="C18" s="33" t="s">
        <v>86</v>
      </c>
      <c r="D18" s="34" t="s">
        <v>87</v>
      </c>
      <c r="E18" s="35" t="s">
        <v>27</v>
      </c>
      <c r="F18" s="32" t="s">
        <v>28</v>
      </c>
      <c r="G18" s="36" t="s">
        <v>88</v>
      </c>
      <c r="H18" s="37">
        <v>46120</v>
      </c>
      <c r="I18" s="36" t="s">
        <v>30</v>
      </c>
      <c r="J18" s="38">
        <v>46074</v>
      </c>
      <c r="K18" s="38">
        <v>2958465</v>
      </c>
      <c r="L18" s="36" t="s">
        <v>31</v>
      </c>
      <c r="M18" s="36" t="s">
        <v>60</v>
      </c>
      <c r="N18" s="39">
        <f ca="1">DATEDIF(H18,$R$1,"D")</f>
        <v>84</v>
      </c>
      <c r="O18" s="40">
        <f t="shared" ca="1" si="0"/>
        <v>2.8</v>
      </c>
      <c r="P18" s="41"/>
      <c r="Q18" s="41"/>
      <c r="R18" s="42"/>
    </row>
    <row r="19" spans="1:18" ht="20.25">
      <c r="A19" s="32">
        <f t="shared" si="1"/>
        <v>16</v>
      </c>
      <c r="B19" s="33" t="s">
        <v>89</v>
      </c>
      <c r="C19" s="33" t="s">
        <v>90</v>
      </c>
      <c r="D19" s="34" t="s">
        <v>91</v>
      </c>
      <c r="E19" s="35" t="s">
        <v>27</v>
      </c>
      <c r="F19" s="32" t="s">
        <v>28</v>
      </c>
      <c r="G19" s="36" t="s">
        <v>92</v>
      </c>
      <c r="H19" s="37">
        <v>46114</v>
      </c>
      <c r="I19" s="36" t="s">
        <v>30</v>
      </c>
      <c r="J19" s="38">
        <v>45735</v>
      </c>
      <c r="K19" s="38">
        <v>2958465</v>
      </c>
      <c r="L19" s="36" t="s">
        <v>31</v>
      </c>
      <c r="M19" s="36" t="s">
        <v>60</v>
      </c>
      <c r="N19" s="39">
        <f ca="1">DATEDIF(H19,$R$1,"D")</f>
        <v>90</v>
      </c>
      <c r="O19" s="40">
        <f t="shared" ca="1" si="0"/>
        <v>3</v>
      </c>
      <c r="P19" s="41"/>
      <c r="Q19" s="41"/>
      <c r="R19" s="42"/>
    </row>
    <row r="20" spans="1:18" ht="20.25">
      <c r="A20" s="32">
        <f t="shared" si="1"/>
        <v>17</v>
      </c>
      <c r="B20" s="33" t="s">
        <v>93</v>
      </c>
      <c r="C20" s="33" t="s">
        <v>94</v>
      </c>
      <c r="D20" s="34" t="s">
        <v>95</v>
      </c>
      <c r="E20" s="35" t="s">
        <v>27</v>
      </c>
      <c r="F20" s="32" t="s">
        <v>28</v>
      </c>
      <c r="G20" s="36" t="s">
        <v>96</v>
      </c>
      <c r="H20" s="37">
        <v>46114</v>
      </c>
      <c r="I20" s="36" t="s">
        <v>30</v>
      </c>
      <c r="J20" s="38">
        <v>46080</v>
      </c>
      <c r="K20" s="38">
        <v>2958465</v>
      </c>
      <c r="L20" s="36" t="s">
        <v>31</v>
      </c>
      <c r="M20" s="36" t="s">
        <v>60</v>
      </c>
      <c r="N20" s="39">
        <f ca="1">DATEDIF(H20,$R$1,"D")</f>
        <v>90</v>
      </c>
      <c r="O20" s="40">
        <f t="shared" ca="1" si="0"/>
        <v>3</v>
      </c>
      <c r="P20" s="41"/>
      <c r="Q20" s="41"/>
      <c r="R20" s="42"/>
    </row>
    <row r="21" spans="1:18" ht="20.25">
      <c r="A21" s="32">
        <f t="shared" si="1"/>
        <v>18</v>
      </c>
      <c r="B21" s="33" t="s">
        <v>97</v>
      </c>
      <c r="C21" s="33" t="s">
        <v>98</v>
      </c>
      <c r="D21" s="34" t="s">
        <v>99</v>
      </c>
      <c r="E21" s="35" t="s">
        <v>27</v>
      </c>
      <c r="F21" s="32" t="s">
        <v>28</v>
      </c>
      <c r="G21" s="36" t="s">
        <v>100</v>
      </c>
      <c r="H21" s="37">
        <v>46135</v>
      </c>
      <c r="I21" s="36" t="s">
        <v>30</v>
      </c>
      <c r="J21" s="38">
        <v>46133</v>
      </c>
      <c r="K21" s="38">
        <v>2958465</v>
      </c>
      <c r="L21" s="36" t="s">
        <v>31</v>
      </c>
      <c r="M21" s="36" t="s">
        <v>60</v>
      </c>
      <c r="N21" s="39">
        <f ca="1">DATEDIF(H21,$R$1,"D")</f>
        <v>69</v>
      </c>
      <c r="O21" s="40">
        <f t="shared" ca="1" si="0"/>
        <v>2.2999999999999998</v>
      </c>
      <c r="P21" s="41"/>
      <c r="Q21" s="41"/>
      <c r="R21" s="42"/>
    </row>
    <row r="22" spans="1:18" ht="20.25">
      <c r="A22" s="32">
        <f t="shared" si="1"/>
        <v>19</v>
      </c>
      <c r="B22" s="33" t="s">
        <v>97</v>
      </c>
      <c r="C22" s="33" t="s">
        <v>98</v>
      </c>
      <c r="D22" s="34" t="s">
        <v>101</v>
      </c>
      <c r="E22" s="35" t="s">
        <v>27</v>
      </c>
      <c r="F22" s="32" t="s">
        <v>28</v>
      </c>
      <c r="G22" s="36" t="s">
        <v>102</v>
      </c>
      <c r="H22" s="37">
        <v>46135</v>
      </c>
      <c r="I22" s="36" t="s">
        <v>30</v>
      </c>
      <c r="J22" s="38">
        <v>46133</v>
      </c>
      <c r="K22" s="38">
        <v>2958465</v>
      </c>
      <c r="L22" s="36" t="s">
        <v>31</v>
      </c>
      <c r="M22" s="36" t="s">
        <v>60</v>
      </c>
      <c r="N22" s="39">
        <f ca="1">DATEDIF(H22,$R$1,"D")</f>
        <v>69</v>
      </c>
      <c r="O22" s="40">
        <f t="shared" ca="1" si="0"/>
        <v>2.2999999999999998</v>
      </c>
      <c r="P22" s="41"/>
      <c r="Q22" s="41"/>
      <c r="R22" s="42"/>
    </row>
    <row r="23" spans="1:18" ht="20.25">
      <c r="A23" s="32">
        <f t="shared" si="1"/>
        <v>20</v>
      </c>
      <c r="B23" s="33" t="s">
        <v>103</v>
      </c>
      <c r="C23" s="33" t="s">
        <v>104</v>
      </c>
      <c r="D23" s="34" t="s">
        <v>105</v>
      </c>
      <c r="E23" s="35" t="s">
        <v>27</v>
      </c>
      <c r="F23" s="32" t="s">
        <v>28</v>
      </c>
      <c r="G23" s="36" t="s">
        <v>106</v>
      </c>
      <c r="H23" s="37">
        <v>46135</v>
      </c>
      <c r="I23" s="36" t="s">
        <v>30</v>
      </c>
      <c r="J23" s="38">
        <v>46123</v>
      </c>
      <c r="K23" s="38">
        <v>2958465</v>
      </c>
      <c r="L23" s="36" t="s">
        <v>31</v>
      </c>
      <c r="M23" s="36" t="s">
        <v>60</v>
      </c>
      <c r="N23" s="39">
        <f ca="1">DATEDIF(H23,$R$1,"D")</f>
        <v>69</v>
      </c>
      <c r="O23" s="40">
        <f t="shared" ca="1" si="0"/>
        <v>2.2999999999999998</v>
      </c>
      <c r="P23" s="41"/>
      <c r="Q23" s="41"/>
      <c r="R23" s="42"/>
    </row>
    <row r="24" spans="1:18" ht="20.25">
      <c r="A24" s="32">
        <f t="shared" si="1"/>
        <v>21</v>
      </c>
      <c r="B24" s="33" t="s">
        <v>103</v>
      </c>
      <c r="C24" s="33" t="s">
        <v>104</v>
      </c>
      <c r="D24" s="34" t="s">
        <v>107</v>
      </c>
      <c r="E24" s="35" t="s">
        <v>27</v>
      </c>
      <c r="F24" s="32" t="s">
        <v>28</v>
      </c>
      <c r="G24" s="36" t="s">
        <v>108</v>
      </c>
      <c r="H24" s="37">
        <v>46135</v>
      </c>
      <c r="I24" s="36" t="s">
        <v>30</v>
      </c>
      <c r="J24" s="38">
        <v>46123</v>
      </c>
      <c r="K24" s="38">
        <v>2958465</v>
      </c>
      <c r="L24" s="36" t="s">
        <v>31</v>
      </c>
      <c r="M24" s="36" t="s">
        <v>60</v>
      </c>
      <c r="N24" s="39">
        <f ca="1">DATEDIF(H24,$R$1,"D")</f>
        <v>69</v>
      </c>
      <c r="O24" s="40">
        <f t="shared" ca="1" si="0"/>
        <v>2.2999999999999998</v>
      </c>
      <c r="P24" s="41"/>
      <c r="Q24" s="41"/>
      <c r="R24" s="42"/>
    </row>
    <row r="25" spans="1:18" ht="20.25">
      <c r="A25" s="32">
        <f t="shared" si="1"/>
        <v>22</v>
      </c>
      <c r="B25" s="33" t="s">
        <v>109</v>
      </c>
      <c r="C25" s="33" t="s">
        <v>110</v>
      </c>
      <c r="D25" s="34" t="s">
        <v>111</v>
      </c>
      <c r="E25" s="35" t="s">
        <v>27</v>
      </c>
      <c r="F25" s="32" t="s">
        <v>28</v>
      </c>
      <c r="G25" s="36" t="s">
        <v>60</v>
      </c>
      <c r="H25" s="37">
        <v>45623</v>
      </c>
      <c r="I25" s="36" t="s">
        <v>30</v>
      </c>
      <c r="J25" s="38">
        <v>45614</v>
      </c>
      <c r="K25" s="38">
        <v>2958465</v>
      </c>
      <c r="L25" s="36" t="s">
        <v>31</v>
      </c>
      <c r="M25" s="36" t="s">
        <v>60</v>
      </c>
      <c r="N25" s="39">
        <f ca="1">DATEDIF(H25,$R$1,"D")</f>
        <v>581</v>
      </c>
      <c r="O25" s="40">
        <f t="shared" ca="1" si="0"/>
        <v>19.366666666666667</v>
      </c>
      <c r="P25" s="41"/>
      <c r="Q25" s="41"/>
      <c r="R25" s="42"/>
    </row>
    <row r="26" spans="1:18" ht="20.25">
      <c r="A26" s="32">
        <f t="shared" si="1"/>
        <v>23</v>
      </c>
      <c r="B26" s="33" t="s">
        <v>112</v>
      </c>
      <c r="C26" s="33" t="s">
        <v>113</v>
      </c>
      <c r="D26" s="34" t="s">
        <v>114</v>
      </c>
      <c r="E26" s="35" t="s">
        <v>27</v>
      </c>
      <c r="F26" s="32" t="s">
        <v>28</v>
      </c>
      <c r="G26" s="36" t="s">
        <v>60</v>
      </c>
      <c r="H26" s="37">
        <v>46104</v>
      </c>
      <c r="I26" s="36" t="s">
        <v>30</v>
      </c>
      <c r="J26" s="38">
        <v>46079</v>
      </c>
      <c r="K26" s="38">
        <v>2958465</v>
      </c>
      <c r="L26" s="36" t="s">
        <v>31</v>
      </c>
      <c r="M26" s="36" t="s">
        <v>60</v>
      </c>
      <c r="N26" s="39">
        <f ca="1">DATEDIF(H26,$R$1,"D")</f>
        <v>100</v>
      </c>
      <c r="O26" s="40">
        <f t="shared" ca="1" si="0"/>
        <v>3.3333333333333335</v>
      </c>
      <c r="P26" s="41"/>
      <c r="Q26" s="41"/>
      <c r="R26" s="42"/>
    </row>
    <row r="27" spans="1:18" ht="20.25">
      <c r="A27" s="32">
        <f t="shared" si="1"/>
        <v>24</v>
      </c>
      <c r="B27" s="33" t="s">
        <v>115</v>
      </c>
      <c r="C27" s="33" t="s">
        <v>116</v>
      </c>
      <c r="D27" s="34" t="s">
        <v>117</v>
      </c>
      <c r="E27" s="35" t="s">
        <v>27</v>
      </c>
      <c r="F27" s="32" t="s">
        <v>28</v>
      </c>
      <c r="G27" s="36" t="s">
        <v>60</v>
      </c>
      <c r="H27" s="37">
        <v>46085</v>
      </c>
      <c r="I27" s="36" t="s">
        <v>30</v>
      </c>
      <c r="J27" s="38">
        <v>46080</v>
      </c>
      <c r="K27" s="38">
        <v>2958465</v>
      </c>
      <c r="L27" s="36" t="s">
        <v>31</v>
      </c>
      <c r="M27" s="36" t="s">
        <v>60</v>
      </c>
      <c r="N27" s="39">
        <f ca="1">DATEDIF(H27,$R$1,"D")</f>
        <v>119</v>
      </c>
      <c r="O27" s="40">
        <f t="shared" ca="1" si="0"/>
        <v>3.9666666666666668</v>
      </c>
      <c r="P27" s="41"/>
      <c r="Q27" s="41"/>
      <c r="R27" s="42"/>
    </row>
    <row r="28" spans="1:18" ht="23.25">
      <c r="A28" s="32">
        <f t="shared" si="1"/>
        <v>25</v>
      </c>
      <c r="B28" s="33" t="s">
        <v>118</v>
      </c>
      <c r="C28" s="33" t="s">
        <v>119</v>
      </c>
      <c r="D28" s="34" t="s">
        <v>120</v>
      </c>
      <c r="E28" s="35" t="s">
        <v>27</v>
      </c>
      <c r="F28" s="32" t="s">
        <v>28</v>
      </c>
      <c r="G28" s="36" t="s">
        <v>60</v>
      </c>
      <c r="H28" s="37">
        <v>46120</v>
      </c>
      <c r="I28" s="36" t="s">
        <v>30</v>
      </c>
      <c r="J28" s="38">
        <v>46118</v>
      </c>
      <c r="K28" s="38">
        <v>2958465</v>
      </c>
      <c r="L28" s="36" t="s">
        <v>31</v>
      </c>
      <c r="M28" s="36" t="s">
        <v>60</v>
      </c>
      <c r="N28" s="39">
        <f ca="1">DATEDIF(H28,$R$1,"D")</f>
        <v>84</v>
      </c>
      <c r="O28" s="40">
        <f t="shared" ca="1" si="0"/>
        <v>2.8</v>
      </c>
      <c r="P28" s="43"/>
      <c r="Q28" s="41"/>
      <c r="R28" s="42"/>
    </row>
    <row r="29" spans="1:18" ht="20.25">
      <c r="A29" s="32">
        <f t="shared" si="1"/>
        <v>26</v>
      </c>
      <c r="B29" s="33" t="s">
        <v>118</v>
      </c>
      <c r="C29" s="33" t="s">
        <v>119</v>
      </c>
      <c r="D29" s="34" t="s">
        <v>121</v>
      </c>
      <c r="E29" s="35" t="s">
        <v>27</v>
      </c>
      <c r="F29" s="32" t="s">
        <v>28</v>
      </c>
      <c r="G29" s="36" t="s">
        <v>60</v>
      </c>
      <c r="H29" s="37">
        <v>46120</v>
      </c>
      <c r="I29" s="36" t="s">
        <v>30</v>
      </c>
      <c r="J29" s="38">
        <v>46118</v>
      </c>
      <c r="K29" s="38">
        <v>2958465</v>
      </c>
      <c r="L29" s="36" t="s">
        <v>31</v>
      </c>
      <c r="M29" s="36" t="s">
        <v>60</v>
      </c>
      <c r="N29" s="39">
        <f ca="1">DATEDIF(H29,$R$1,"D")</f>
        <v>84</v>
      </c>
      <c r="O29" s="40">
        <f t="shared" ca="1" si="0"/>
        <v>2.8</v>
      </c>
      <c r="P29" s="41"/>
      <c r="Q29" s="41"/>
      <c r="R29" s="42"/>
    </row>
    <row r="30" spans="1:18" ht="20.25">
      <c r="A30" s="32">
        <f t="shared" si="1"/>
        <v>27</v>
      </c>
      <c r="B30" s="33" t="s">
        <v>122</v>
      </c>
      <c r="C30" s="33" t="s">
        <v>123</v>
      </c>
      <c r="D30" s="34" t="s">
        <v>124</v>
      </c>
      <c r="E30" s="35" t="s">
        <v>27</v>
      </c>
      <c r="F30" s="32" t="s">
        <v>28</v>
      </c>
      <c r="G30" s="36" t="s">
        <v>60</v>
      </c>
      <c r="H30" s="37">
        <v>46120</v>
      </c>
      <c r="I30" s="36" t="s">
        <v>30</v>
      </c>
      <c r="J30" s="38">
        <v>46118</v>
      </c>
      <c r="K30" s="38">
        <v>2958465</v>
      </c>
      <c r="L30" s="36" t="s">
        <v>31</v>
      </c>
      <c r="M30" s="36" t="s">
        <v>60</v>
      </c>
      <c r="N30" s="39">
        <f ca="1">DATEDIF(H30,$R$1,"D")</f>
        <v>84</v>
      </c>
      <c r="O30" s="40">
        <f t="shared" ca="1" si="0"/>
        <v>2.8</v>
      </c>
      <c r="P30" s="41"/>
      <c r="Q30" s="41"/>
      <c r="R30" s="42"/>
    </row>
    <row r="31" spans="1:18" ht="20.25">
      <c r="A31" s="32">
        <f t="shared" si="1"/>
        <v>28</v>
      </c>
      <c r="B31" s="33" t="s">
        <v>125</v>
      </c>
      <c r="C31" s="33" t="s">
        <v>126</v>
      </c>
      <c r="D31" s="34" t="s">
        <v>127</v>
      </c>
      <c r="E31" s="35" t="s">
        <v>27</v>
      </c>
      <c r="F31" s="32" t="s">
        <v>28</v>
      </c>
      <c r="G31" s="36" t="s">
        <v>60</v>
      </c>
      <c r="H31" s="37">
        <v>46003</v>
      </c>
      <c r="I31" s="36" t="s">
        <v>30</v>
      </c>
      <c r="J31" s="38">
        <v>45980</v>
      </c>
      <c r="K31" s="38">
        <v>2958465</v>
      </c>
      <c r="L31" s="36" t="s">
        <v>31</v>
      </c>
      <c r="M31" s="36" t="s">
        <v>60</v>
      </c>
      <c r="N31" s="39">
        <f ca="1">DATEDIF(H31,$R$1,"D")</f>
        <v>201</v>
      </c>
      <c r="O31" s="40">
        <f t="shared" ca="1" si="0"/>
        <v>6.7</v>
      </c>
      <c r="P31" s="41"/>
      <c r="Q31" s="41"/>
      <c r="R31" s="42"/>
    </row>
    <row r="32" spans="1:18" ht="20.25">
      <c r="A32" s="32">
        <f t="shared" si="1"/>
        <v>29</v>
      </c>
      <c r="B32" s="33" t="s">
        <v>125</v>
      </c>
      <c r="C32" s="33" t="s">
        <v>126</v>
      </c>
      <c r="D32" s="34" t="s">
        <v>128</v>
      </c>
      <c r="E32" s="35" t="s">
        <v>27</v>
      </c>
      <c r="F32" s="32" t="s">
        <v>28</v>
      </c>
      <c r="G32" s="36" t="s">
        <v>60</v>
      </c>
      <c r="H32" s="37">
        <v>46085</v>
      </c>
      <c r="I32" s="36" t="s">
        <v>30</v>
      </c>
      <c r="J32" s="38">
        <v>46079</v>
      </c>
      <c r="K32" s="38">
        <v>2958465</v>
      </c>
      <c r="L32" s="36" t="s">
        <v>31</v>
      </c>
      <c r="M32" s="36" t="s">
        <v>60</v>
      </c>
      <c r="N32" s="39">
        <f ca="1">DATEDIF(H32,$R$1,"D")</f>
        <v>119</v>
      </c>
      <c r="O32" s="40">
        <f t="shared" ca="1" si="0"/>
        <v>3.9666666666666668</v>
      </c>
      <c r="P32" s="41"/>
      <c r="Q32" s="41"/>
      <c r="R32" s="42"/>
    </row>
    <row r="33" spans="1:18" ht="20.25">
      <c r="A33" s="32">
        <f t="shared" si="1"/>
        <v>30</v>
      </c>
      <c r="B33" s="33" t="s">
        <v>125</v>
      </c>
      <c r="C33" s="33" t="s">
        <v>126</v>
      </c>
      <c r="D33" s="34" t="s">
        <v>129</v>
      </c>
      <c r="E33" s="35" t="s">
        <v>27</v>
      </c>
      <c r="F33" s="32" t="s">
        <v>28</v>
      </c>
      <c r="G33" s="36" t="s">
        <v>60</v>
      </c>
      <c r="H33" s="37">
        <v>46085</v>
      </c>
      <c r="I33" s="36" t="s">
        <v>30</v>
      </c>
      <c r="J33" s="38">
        <v>46079</v>
      </c>
      <c r="K33" s="38">
        <v>2958465</v>
      </c>
      <c r="L33" s="36" t="s">
        <v>31</v>
      </c>
      <c r="M33" s="36" t="s">
        <v>60</v>
      </c>
      <c r="N33" s="39">
        <f ca="1">DATEDIF(H33,$R$1,"D")</f>
        <v>119</v>
      </c>
      <c r="O33" s="40">
        <f t="shared" ca="1" si="0"/>
        <v>3.9666666666666668</v>
      </c>
      <c r="P33" s="41"/>
      <c r="Q33" s="41"/>
      <c r="R33" s="42"/>
    </row>
    <row r="34" spans="1:18" ht="20.25">
      <c r="A34" s="32">
        <f t="shared" si="1"/>
        <v>31</v>
      </c>
      <c r="B34" s="33" t="s">
        <v>130</v>
      </c>
      <c r="C34" s="33" t="s">
        <v>131</v>
      </c>
      <c r="D34" s="34" t="s">
        <v>132</v>
      </c>
      <c r="E34" s="35" t="s">
        <v>27</v>
      </c>
      <c r="F34" s="32" t="s">
        <v>28</v>
      </c>
      <c r="G34" s="36" t="s">
        <v>60</v>
      </c>
      <c r="H34" s="37">
        <v>45871</v>
      </c>
      <c r="I34" s="36" t="s">
        <v>30</v>
      </c>
      <c r="J34" s="38">
        <v>45806</v>
      </c>
      <c r="K34" s="38">
        <v>2958465</v>
      </c>
      <c r="L34" s="36" t="s">
        <v>31</v>
      </c>
      <c r="M34" s="36" t="s">
        <v>60</v>
      </c>
      <c r="N34" s="39">
        <f ca="1">DATEDIF(H34,$R$1,"D")</f>
        <v>333</v>
      </c>
      <c r="O34" s="40">
        <f t="shared" ca="1" si="0"/>
        <v>11.1</v>
      </c>
      <c r="P34" s="41"/>
      <c r="Q34" s="41"/>
      <c r="R34" s="44"/>
    </row>
    <row r="35" spans="1:18" ht="20.25">
      <c r="A35" s="32">
        <f t="shared" si="1"/>
        <v>32</v>
      </c>
      <c r="B35" s="33" t="s">
        <v>130</v>
      </c>
      <c r="C35" s="33" t="s">
        <v>131</v>
      </c>
      <c r="D35" s="34" t="s">
        <v>133</v>
      </c>
      <c r="E35" s="35" t="s">
        <v>27</v>
      </c>
      <c r="F35" s="32" t="s">
        <v>28</v>
      </c>
      <c r="G35" s="36" t="s">
        <v>60</v>
      </c>
      <c r="H35" s="37">
        <v>45871</v>
      </c>
      <c r="I35" s="36" t="s">
        <v>30</v>
      </c>
      <c r="J35" s="38">
        <v>45806</v>
      </c>
      <c r="K35" s="38">
        <v>2958465</v>
      </c>
      <c r="L35" s="36" t="s">
        <v>31</v>
      </c>
      <c r="M35" s="36" t="s">
        <v>60</v>
      </c>
      <c r="N35" s="39">
        <f ca="1">DATEDIF(H35,$R$1,"D")</f>
        <v>333</v>
      </c>
      <c r="O35" s="40">
        <f t="shared" ca="1" si="0"/>
        <v>11.1</v>
      </c>
      <c r="P35" s="41"/>
      <c r="Q35" s="41"/>
      <c r="R35" s="44"/>
    </row>
    <row r="36" spans="1:18" ht="20.25">
      <c r="A36" s="32">
        <f t="shared" si="1"/>
        <v>33</v>
      </c>
      <c r="B36" s="33" t="s">
        <v>130</v>
      </c>
      <c r="C36" s="33" t="s">
        <v>131</v>
      </c>
      <c r="D36" s="34" t="s">
        <v>134</v>
      </c>
      <c r="E36" s="35" t="s">
        <v>27</v>
      </c>
      <c r="F36" s="32" t="s">
        <v>28</v>
      </c>
      <c r="G36" s="36" t="s">
        <v>60</v>
      </c>
      <c r="H36" s="37">
        <v>45871</v>
      </c>
      <c r="I36" s="36" t="s">
        <v>30</v>
      </c>
      <c r="J36" s="38">
        <v>45806</v>
      </c>
      <c r="K36" s="38">
        <v>2958465</v>
      </c>
      <c r="L36" s="36" t="s">
        <v>31</v>
      </c>
      <c r="M36" s="36" t="s">
        <v>60</v>
      </c>
      <c r="N36" s="39">
        <f ca="1">DATEDIF(H36,$R$1,"D")</f>
        <v>333</v>
      </c>
      <c r="O36" s="40">
        <f t="shared" ca="1" si="0"/>
        <v>11.1</v>
      </c>
      <c r="P36" s="41"/>
      <c r="Q36" s="41"/>
      <c r="R36" s="44"/>
    </row>
    <row r="37" spans="1:18" ht="20.25">
      <c r="A37" s="32">
        <f t="shared" si="1"/>
        <v>34</v>
      </c>
      <c r="B37" s="33" t="s">
        <v>130</v>
      </c>
      <c r="C37" s="33" t="s">
        <v>131</v>
      </c>
      <c r="D37" s="34" t="s">
        <v>135</v>
      </c>
      <c r="E37" s="35" t="s">
        <v>27</v>
      </c>
      <c r="F37" s="32" t="s">
        <v>28</v>
      </c>
      <c r="G37" s="36" t="s">
        <v>60</v>
      </c>
      <c r="H37" s="37">
        <v>45871</v>
      </c>
      <c r="I37" s="36" t="s">
        <v>30</v>
      </c>
      <c r="J37" s="38">
        <v>45806</v>
      </c>
      <c r="K37" s="38">
        <v>2958465</v>
      </c>
      <c r="L37" s="36" t="s">
        <v>31</v>
      </c>
      <c r="M37" s="36" t="s">
        <v>60</v>
      </c>
      <c r="N37" s="39">
        <f ca="1">DATEDIF(H37,$R$1,"D")</f>
        <v>333</v>
      </c>
      <c r="O37" s="40">
        <f t="shared" ca="1" si="0"/>
        <v>11.1</v>
      </c>
      <c r="P37" s="41"/>
      <c r="Q37" s="41"/>
      <c r="R37" s="44"/>
    </row>
    <row r="38" spans="1:18" ht="20.25">
      <c r="A38" s="32">
        <f t="shared" si="1"/>
        <v>35</v>
      </c>
      <c r="B38" s="33" t="s">
        <v>130</v>
      </c>
      <c r="C38" s="33" t="s">
        <v>131</v>
      </c>
      <c r="D38" s="34" t="s">
        <v>136</v>
      </c>
      <c r="E38" s="35" t="s">
        <v>27</v>
      </c>
      <c r="F38" s="32" t="s">
        <v>28</v>
      </c>
      <c r="G38" s="36" t="s">
        <v>60</v>
      </c>
      <c r="H38" s="37">
        <v>46085</v>
      </c>
      <c r="I38" s="36" t="s">
        <v>30</v>
      </c>
      <c r="J38" s="38">
        <v>46071</v>
      </c>
      <c r="K38" s="38">
        <v>2958465</v>
      </c>
      <c r="L38" s="36" t="s">
        <v>31</v>
      </c>
      <c r="M38" s="36" t="s">
        <v>60</v>
      </c>
      <c r="N38" s="39">
        <f ca="1">DATEDIF(H38,$R$1,"D")</f>
        <v>119</v>
      </c>
      <c r="O38" s="40">
        <f t="shared" ca="1" si="0"/>
        <v>3.9666666666666668</v>
      </c>
      <c r="P38" s="41"/>
      <c r="Q38" s="41"/>
      <c r="R38" s="44"/>
    </row>
    <row r="39" spans="1:18" ht="20.25">
      <c r="A39" s="32">
        <f t="shared" si="1"/>
        <v>36</v>
      </c>
      <c r="B39" s="33" t="s">
        <v>130</v>
      </c>
      <c r="C39" s="33" t="s">
        <v>131</v>
      </c>
      <c r="D39" s="34" t="s">
        <v>137</v>
      </c>
      <c r="E39" s="35" t="s">
        <v>27</v>
      </c>
      <c r="F39" s="32" t="s">
        <v>28</v>
      </c>
      <c r="G39" s="36" t="s">
        <v>60</v>
      </c>
      <c r="H39" s="37">
        <v>46085</v>
      </c>
      <c r="I39" s="36" t="s">
        <v>30</v>
      </c>
      <c r="J39" s="38">
        <v>46071</v>
      </c>
      <c r="K39" s="38">
        <v>2958465</v>
      </c>
      <c r="L39" s="36" t="s">
        <v>31</v>
      </c>
      <c r="M39" s="36" t="s">
        <v>60</v>
      </c>
      <c r="N39" s="39">
        <f ca="1">DATEDIF(H39,$R$1,"D")</f>
        <v>119</v>
      </c>
      <c r="O39" s="40">
        <f t="shared" ca="1" si="0"/>
        <v>3.9666666666666668</v>
      </c>
      <c r="P39" s="41"/>
      <c r="Q39" s="41"/>
      <c r="R39" s="44"/>
    </row>
    <row r="40" spans="1:18" ht="20.25">
      <c r="A40" s="32">
        <f t="shared" si="1"/>
        <v>37</v>
      </c>
      <c r="B40" s="33" t="s">
        <v>130</v>
      </c>
      <c r="C40" s="33" t="s">
        <v>131</v>
      </c>
      <c r="D40" s="34" t="s">
        <v>138</v>
      </c>
      <c r="E40" s="35" t="s">
        <v>27</v>
      </c>
      <c r="F40" s="32" t="s">
        <v>28</v>
      </c>
      <c r="G40" s="36" t="s">
        <v>60</v>
      </c>
      <c r="H40" s="37">
        <v>46085</v>
      </c>
      <c r="I40" s="36" t="s">
        <v>30</v>
      </c>
      <c r="J40" s="38">
        <v>46071</v>
      </c>
      <c r="K40" s="38">
        <v>2958465</v>
      </c>
      <c r="L40" s="36" t="s">
        <v>31</v>
      </c>
      <c r="M40" s="36" t="s">
        <v>60</v>
      </c>
      <c r="N40" s="39">
        <f ca="1">DATEDIF(H40,$R$1,"D")</f>
        <v>119</v>
      </c>
      <c r="O40" s="40">
        <f t="shared" ca="1" si="0"/>
        <v>3.9666666666666668</v>
      </c>
      <c r="P40" s="41"/>
      <c r="Q40" s="41"/>
      <c r="R40" s="44"/>
    </row>
    <row r="41" spans="1:18" ht="20.25">
      <c r="A41" s="32">
        <f t="shared" si="1"/>
        <v>38</v>
      </c>
      <c r="B41" s="33" t="s">
        <v>130</v>
      </c>
      <c r="C41" s="33" t="s">
        <v>131</v>
      </c>
      <c r="D41" s="34" t="s">
        <v>139</v>
      </c>
      <c r="E41" s="35" t="s">
        <v>27</v>
      </c>
      <c r="F41" s="32" t="s">
        <v>28</v>
      </c>
      <c r="G41" s="36" t="s">
        <v>60</v>
      </c>
      <c r="H41" s="37">
        <v>46085</v>
      </c>
      <c r="I41" s="36" t="s">
        <v>30</v>
      </c>
      <c r="J41" s="38">
        <v>46071</v>
      </c>
      <c r="K41" s="38">
        <v>2958465</v>
      </c>
      <c r="L41" s="36" t="s">
        <v>31</v>
      </c>
      <c r="M41" s="36" t="s">
        <v>60</v>
      </c>
      <c r="N41" s="39">
        <f ca="1">DATEDIF(H41,$R$1,"D")</f>
        <v>119</v>
      </c>
      <c r="O41" s="40">
        <f t="shared" ca="1" si="0"/>
        <v>3.9666666666666668</v>
      </c>
      <c r="P41" s="41"/>
      <c r="Q41" s="41"/>
      <c r="R41" s="44"/>
    </row>
    <row r="42" spans="1:18" ht="20.25">
      <c r="A42" s="32">
        <f t="shared" si="1"/>
        <v>39</v>
      </c>
      <c r="B42" s="33" t="s">
        <v>130</v>
      </c>
      <c r="C42" s="33" t="s">
        <v>131</v>
      </c>
      <c r="D42" s="34" t="s">
        <v>140</v>
      </c>
      <c r="E42" s="35" t="s">
        <v>27</v>
      </c>
      <c r="F42" s="32" t="s">
        <v>28</v>
      </c>
      <c r="G42" s="36" t="s">
        <v>60</v>
      </c>
      <c r="H42" s="37">
        <v>46085</v>
      </c>
      <c r="I42" s="36" t="s">
        <v>30</v>
      </c>
      <c r="J42" s="38">
        <v>46071</v>
      </c>
      <c r="K42" s="38">
        <v>2958465</v>
      </c>
      <c r="L42" s="36" t="s">
        <v>31</v>
      </c>
      <c r="M42" s="36" t="s">
        <v>60</v>
      </c>
      <c r="N42" s="39">
        <f ca="1">DATEDIF(H42,$R$1,"D")</f>
        <v>119</v>
      </c>
      <c r="O42" s="40">
        <f t="shared" ca="1" si="0"/>
        <v>3.9666666666666668</v>
      </c>
      <c r="P42" s="41"/>
      <c r="Q42" s="41"/>
      <c r="R42" s="44"/>
    </row>
    <row r="43" spans="1:18" ht="20.25">
      <c r="A43" s="32">
        <f t="shared" si="1"/>
        <v>40</v>
      </c>
      <c r="B43" s="33" t="s">
        <v>130</v>
      </c>
      <c r="C43" s="33" t="s">
        <v>131</v>
      </c>
      <c r="D43" s="34" t="s">
        <v>141</v>
      </c>
      <c r="E43" s="35" t="s">
        <v>27</v>
      </c>
      <c r="F43" s="32" t="s">
        <v>28</v>
      </c>
      <c r="G43" s="36" t="s">
        <v>60</v>
      </c>
      <c r="H43" s="37">
        <v>46085</v>
      </c>
      <c r="I43" s="36" t="s">
        <v>30</v>
      </c>
      <c r="J43" s="38">
        <v>46071</v>
      </c>
      <c r="K43" s="38">
        <v>2958465</v>
      </c>
      <c r="L43" s="36" t="s">
        <v>31</v>
      </c>
      <c r="M43" s="36" t="s">
        <v>60</v>
      </c>
      <c r="N43" s="39">
        <f ca="1">DATEDIF(H43,$R$1,"D")</f>
        <v>119</v>
      </c>
      <c r="O43" s="40">
        <f t="shared" ca="1" si="0"/>
        <v>3.9666666666666668</v>
      </c>
      <c r="P43" s="41"/>
      <c r="Q43" s="41"/>
      <c r="R43" s="44"/>
    </row>
    <row r="44" spans="1:18" ht="20.25">
      <c r="A44" s="32">
        <f t="shared" si="1"/>
        <v>41</v>
      </c>
      <c r="B44" s="33" t="s">
        <v>130</v>
      </c>
      <c r="C44" s="33" t="s">
        <v>131</v>
      </c>
      <c r="D44" s="34" t="s">
        <v>142</v>
      </c>
      <c r="E44" s="35" t="s">
        <v>27</v>
      </c>
      <c r="F44" s="32" t="s">
        <v>28</v>
      </c>
      <c r="G44" s="36" t="s">
        <v>60</v>
      </c>
      <c r="H44" s="37">
        <v>46085</v>
      </c>
      <c r="I44" s="36" t="s">
        <v>30</v>
      </c>
      <c r="J44" s="38">
        <v>46071</v>
      </c>
      <c r="K44" s="38">
        <v>2958465</v>
      </c>
      <c r="L44" s="36" t="s">
        <v>31</v>
      </c>
      <c r="M44" s="36" t="s">
        <v>60</v>
      </c>
      <c r="N44" s="39">
        <f ca="1">DATEDIF(H44,$R$1,"D")</f>
        <v>119</v>
      </c>
      <c r="O44" s="40">
        <f t="shared" ca="1" si="0"/>
        <v>3.9666666666666668</v>
      </c>
      <c r="P44" s="41"/>
      <c r="Q44" s="41"/>
      <c r="R44" s="44"/>
    </row>
    <row r="45" spans="1:18" ht="20.25">
      <c r="A45" s="32">
        <f t="shared" si="1"/>
        <v>42</v>
      </c>
      <c r="B45" s="33" t="s">
        <v>143</v>
      </c>
      <c r="C45" s="33" t="s">
        <v>144</v>
      </c>
      <c r="D45" s="34" t="s">
        <v>145</v>
      </c>
      <c r="E45" s="35" t="s">
        <v>27</v>
      </c>
      <c r="F45" s="32" t="s">
        <v>28</v>
      </c>
      <c r="G45" s="36" t="s">
        <v>60</v>
      </c>
      <c r="H45" s="37">
        <v>46063</v>
      </c>
      <c r="I45" s="36" t="s">
        <v>30</v>
      </c>
      <c r="J45" s="38">
        <v>45191</v>
      </c>
      <c r="K45" s="38">
        <v>2958465</v>
      </c>
      <c r="L45" s="36" t="s">
        <v>31</v>
      </c>
      <c r="M45" s="36" t="s">
        <v>60</v>
      </c>
      <c r="N45" s="39">
        <f ca="1">DATEDIF(H45,$R$1,"D")</f>
        <v>141</v>
      </c>
      <c r="O45" s="40">
        <f t="shared" ca="1" si="0"/>
        <v>4.7</v>
      </c>
      <c r="P45" s="41"/>
      <c r="Q45" s="41"/>
      <c r="R45" s="44"/>
    </row>
    <row r="46" spans="1:18" ht="20.25">
      <c r="A46" s="32">
        <f t="shared" si="1"/>
        <v>43</v>
      </c>
      <c r="B46" s="33" t="s">
        <v>146</v>
      </c>
      <c r="C46" s="33" t="s">
        <v>147</v>
      </c>
      <c r="D46" s="34" t="s">
        <v>148</v>
      </c>
      <c r="E46" s="35" t="s">
        <v>27</v>
      </c>
      <c r="F46" s="32" t="s">
        <v>28</v>
      </c>
      <c r="G46" s="36" t="s">
        <v>60</v>
      </c>
      <c r="H46" s="37">
        <v>46104</v>
      </c>
      <c r="I46" s="36" t="s">
        <v>30</v>
      </c>
      <c r="J46" s="38">
        <v>46074</v>
      </c>
      <c r="K46" s="38">
        <v>2958465</v>
      </c>
      <c r="L46" s="36" t="s">
        <v>31</v>
      </c>
      <c r="M46" s="36" t="s">
        <v>60</v>
      </c>
      <c r="N46" s="39">
        <f ca="1">DATEDIF(H46,$R$1,"D")</f>
        <v>100</v>
      </c>
      <c r="O46" s="40">
        <f t="shared" ca="1" si="0"/>
        <v>3.3333333333333335</v>
      </c>
      <c r="P46" s="41"/>
      <c r="Q46" s="41"/>
      <c r="R46" s="44"/>
    </row>
    <row r="47" spans="1:18" ht="20.25">
      <c r="A47" s="32">
        <f t="shared" si="1"/>
        <v>44</v>
      </c>
      <c r="B47" s="33" t="s">
        <v>146</v>
      </c>
      <c r="C47" s="33" t="s">
        <v>147</v>
      </c>
      <c r="D47" s="34" t="s">
        <v>149</v>
      </c>
      <c r="E47" s="35" t="s">
        <v>27</v>
      </c>
      <c r="F47" s="32" t="s">
        <v>28</v>
      </c>
      <c r="G47" s="36" t="s">
        <v>60</v>
      </c>
      <c r="H47" s="37">
        <v>46104</v>
      </c>
      <c r="I47" s="36" t="s">
        <v>30</v>
      </c>
      <c r="J47" s="38">
        <v>46074</v>
      </c>
      <c r="K47" s="38">
        <v>2958465</v>
      </c>
      <c r="L47" s="36" t="s">
        <v>31</v>
      </c>
      <c r="M47" s="36" t="s">
        <v>60</v>
      </c>
      <c r="N47" s="39">
        <f ca="1">DATEDIF(H47,$R$1,"D")</f>
        <v>100</v>
      </c>
      <c r="O47" s="40">
        <f t="shared" ca="1" si="0"/>
        <v>3.3333333333333335</v>
      </c>
      <c r="P47" s="41"/>
      <c r="Q47" s="41"/>
      <c r="R47" s="44"/>
    </row>
    <row r="48" spans="1:18" ht="20.25">
      <c r="A48" s="32">
        <f t="shared" si="1"/>
        <v>45</v>
      </c>
      <c r="B48" s="33" t="s">
        <v>150</v>
      </c>
      <c r="C48" s="33" t="s">
        <v>151</v>
      </c>
      <c r="D48" s="34" t="s">
        <v>152</v>
      </c>
      <c r="E48" s="35" t="s">
        <v>27</v>
      </c>
      <c r="F48" s="32" t="s">
        <v>28</v>
      </c>
      <c r="G48" s="36" t="s">
        <v>60</v>
      </c>
      <c r="H48" s="37">
        <v>46104</v>
      </c>
      <c r="I48" s="36" t="s">
        <v>30</v>
      </c>
      <c r="J48" s="38">
        <v>46074</v>
      </c>
      <c r="K48" s="38">
        <v>2958465</v>
      </c>
      <c r="L48" s="36" t="s">
        <v>31</v>
      </c>
      <c r="M48" s="36" t="s">
        <v>60</v>
      </c>
      <c r="N48" s="39">
        <f ca="1">DATEDIF(H48,$R$1,"D")</f>
        <v>100</v>
      </c>
      <c r="O48" s="40">
        <f t="shared" ca="1" si="0"/>
        <v>3.3333333333333335</v>
      </c>
      <c r="P48" s="41"/>
      <c r="Q48" s="41"/>
      <c r="R48" s="44"/>
    </row>
    <row r="49" spans="1:18" ht="20.25">
      <c r="A49" s="32">
        <f t="shared" si="1"/>
        <v>46</v>
      </c>
      <c r="B49" s="33" t="s">
        <v>150</v>
      </c>
      <c r="C49" s="33" t="s">
        <v>151</v>
      </c>
      <c r="D49" s="34" t="s">
        <v>153</v>
      </c>
      <c r="E49" s="35" t="s">
        <v>27</v>
      </c>
      <c r="F49" s="32" t="s">
        <v>28</v>
      </c>
      <c r="G49" s="36" t="s">
        <v>60</v>
      </c>
      <c r="H49" s="37">
        <v>46104</v>
      </c>
      <c r="I49" s="36" t="s">
        <v>30</v>
      </c>
      <c r="J49" s="38">
        <v>46074</v>
      </c>
      <c r="K49" s="38">
        <v>2958465</v>
      </c>
      <c r="L49" s="36" t="s">
        <v>31</v>
      </c>
      <c r="M49" s="36" t="s">
        <v>60</v>
      </c>
      <c r="N49" s="39">
        <f ca="1">DATEDIF(H49,$R$1,"D")</f>
        <v>100</v>
      </c>
      <c r="O49" s="40">
        <f t="shared" ca="1" si="0"/>
        <v>3.3333333333333335</v>
      </c>
      <c r="P49" s="41"/>
      <c r="Q49" s="41"/>
      <c r="R49" s="44"/>
    </row>
    <row r="50" spans="1:18" ht="20.25">
      <c r="A50" s="32">
        <f t="shared" si="1"/>
        <v>47</v>
      </c>
      <c r="B50" s="33" t="s">
        <v>154</v>
      </c>
      <c r="C50" s="33" t="s">
        <v>155</v>
      </c>
      <c r="D50" s="34" t="s">
        <v>156</v>
      </c>
      <c r="E50" s="35" t="s">
        <v>27</v>
      </c>
      <c r="F50" s="32" t="s">
        <v>28</v>
      </c>
      <c r="G50" s="36" t="s">
        <v>60</v>
      </c>
      <c r="H50" s="37">
        <v>46085</v>
      </c>
      <c r="I50" s="36" t="s">
        <v>30</v>
      </c>
      <c r="J50" s="38">
        <v>46064</v>
      </c>
      <c r="K50" s="38">
        <v>2958465</v>
      </c>
      <c r="L50" s="36" t="s">
        <v>31</v>
      </c>
      <c r="M50" s="36" t="s">
        <v>60</v>
      </c>
      <c r="N50" s="39">
        <f ca="1">DATEDIF(H50,$R$1,"D")</f>
        <v>119</v>
      </c>
      <c r="O50" s="40">
        <f t="shared" ca="1" si="0"/>
        <v>3.9666666666666668</v>
      </c>
      <c r="P50" s="41"/>
      <c r="Q50" s="41"/>
      <c r="R50" s="44"/>
    </row>
    <row r="51" spans="1:18" ht="20.25">
      <c r="A51" s="32">
        <f t="shared" si="1"/>
        <v>48</v>
      </c>
      <c r="B51" s="33" t="s">
        <v>154</v>
      </c>
      <c r="C51" s="33" t="s">
        <v>155</v>
      </c>
      <c r="D51" s="34" t="s">
        <v>157</v>
      </c>
      <c r="E51" s="35" t="s">
        <v>27</v>
      </c>
      <c r="F51" s="32" t="s">
        <v>28</v>
      </c>
      <c r="G51" s="36" t="s">
        <v>60</v>
      </c>
      <c r="H51" s="37">
        <v>46085</v>
      </c>
      <c r="I51" s="36" t="s">
        <v>30</v>
      </c>
      <c r="J51" s="38">
        <v>46064</v>
      </c>
      <c r="K51" s="38">
        <v>2958465</v>
      </c>
      <c r="L51" s="36" t="s">
        <v>31</v>
      </c>
      <c r="M51" s="36" t="s">
        <v>60</v>
      </c>
      <c r="N51" s="39">
        <f ca="1">DATEDIF(H51,$R$1,"D")</f>
        <v>119</v>
      </c>
      <c r="O51" s="40">
        <f t="shared" ca="1" si="0"/>
        <v>3.9666666666666668</v>
      </c>
      <c r="P51" s="41"/>
      <c r="Q51" s="41"/>
      <c r="R51" s="44"/>
    </row>
    <row r="52" spans="1:18" ht="20.25">
      <c r="A52" s="32">
        <f t="shared" si="1"/>
        <v>49</v>
      </c>
      <c r="B52" s="33" t="s">
        <v>158</v>
      </c>
      <c r="C52" s="33" t="s">
        <v>159</v>
      </c>
      <c r="D52" s="34" t="s">
        <v>160</v>
      </c>
      <c r="E52" s="35" t="s">
        <v>27</v>
      </c>
      <c r="F52" s="32" t="s">
        <v>28</v>
      </c>
      <c r="G52" s="36" t="s">
        <v>60</v>
      </c>
      <c r="H52" s="37">
        <v>45709</v>
      </c>
      <c r="I52" s="36" t="s">
        <v>30</v>
      </c>
      <c r="J52" s="38">
        <v>45612</v>
      </c>
      <c r="K52" s="38">
        <v>2958465</v>
      </c>
      <c r="L52" s="36" t="s">
        <v>31</v>
      </c>
      <c r="M52" s="36" t="s">
        <v>60</v>
      </c>
      <c r="N52" s="39">
        <f ca="1">DATEDIF(H52,$R$1,"D")</f>
        <v>495</v>
      </c>
      <c r="O52" s="40">
        <f t="shared" ca="1" si="0"/>
        <v>16.5</v>
      </c>
      <c r="P52" s="41"/>
      <c r="Q52" s="41"/>
      <c r="R52" s="44"/>
    </row>
    <row r="53" spans="1:18" ht="20.25">
      <c r="A53" s="32">
        <f t="shared" si="1"/>
        <v>50</v>
      </c>
      <c r="B53" s="33" t="s">
        <v>158</v>
      </c>
      <c r="C53" s="33" t="s">
        <v>159</v>
      </c>
      <c r="D53" s="34" t="s">
        <v>161</v>
      </c>
      <c r="E53" s="35" t="s">
        <v>27</v>
      </c>
      <c r="F53" s="32" t="s">
        <v>28</v>
      </c>
      <c r="G53" s="36" t="s">
        <v>60</v>
      </c>
      <c r="H53" s="37">
        <v>46085</v>
      </c>
      <c r="I53" s="36" t="s">
        <v>30</v>
      </c>
      <c r="J53" s="38">
        <v>46064</v>
      </c>
      <c r="K53" s="38">
        <v>2958465</v>
      </c>
      <c r="L53" s="36" t="s">
        <v>31</v>
      </c>
      <c r="M53" s="36" t="s">
        <v>60</v>
      </c>
      <c r="N53" s="39">
        <f ca="1">DATEDIF(H53,$R$1,"D")</f>
        <v>119</v>
      </c>
      <c r="O53" s="40">
        <f t="shared" ca="1" si="0"/>
        <v>3.9666666666666668</v>
      </c>
      <c r="P53" s="41"/>
      <c r="Q53" s="41"/>
      <c r="R53" s="44"/>
    </row>
    <row r="54" spans="1:18" ht="20.25">
      <c r="A54" s="32">
        <f t="shared" si="1"/>
        <v>51</v>
      </c>
      <c r="B54" s="33" t="s">
        <v>158</v>
      </c>
      <c r="C54" s="33" t="s">
        <v>159</v>
      </c>
      <c r="D54" s="34" t="s">
        <v>162</v>
      </c>
      <c r="E54" s="35" t="s">
        <v>27</v>
      </c>
      <c r="F54" s="32" t="s">
        <v>28</v>
      </c>
      <c r="G54" s="36" t="s">
        <v>60</v>
      </c>
      <c r="H54" s="37">
        <v>46085</v>
      </c>
      <c r="I54" s="36" t="s">
        <v>30</v>
      </c>
      <c r="J54" s="38">
        <v>46064</v>
      </c>
      <c r="K54" s="38">
        <v>2958465</v>
      </c>
      <c r="L54" s="36" t="s">
        <v>31</v>
      </c>
      <c r="M54" s="36" t="s">
        <v>60</v>
      </c>
      <c r="N54" s="39">
        <f ca="1">DATEDIF(H54,$R$1,"D")</f>
        <v>119</v>
      </c>
      <c r="O54" s="40">
        <f t="shared" ca="1" si="0"/>
        <v>3.9666666666666668</v>
      </c>
      <c r="P54" s="41"/>
      <c r="Q54" s="41"/>
      <c r="R54" s="44"/>
    </row>
    <row r="55" spans="1:18" ht="20.25">
      <c r="A55" s="32">
        <f t="shared" si="1"/>
        <v>52</v>
      </c>
      <c r="B55" s="33" t="s">
        <v>158</v>
      </c>
      <c r="C55" s="33" t="s">
        <v>159</v>
      </c>
      <c r="D55" s="34" t="s">
        <v>163</v>
      </c>
      <c r="E55" s="35" t="s">
        <v>27</v>
      </c>
      <c r="F55" s="32" t="s">
        <v>28</v>
      </c>
      <c r="G55" s="36" t="s">
        <v>60</v>
      </c>
      <c r="H55" s="37">
        <v>46085</v>
      </c>
      <c r="I55" s="36" t="s">
        <v>30</v>
      </c>
      <c r="J55" s="38">
        <v>46064</v>
      </c>
      <c r="K55" s="38">
        <v>2958465</v>
      </c>
      <c r="L55" s="36" t="s">
        <v>31</v>
      </c>
      <c r="M55" s="36" t="s">
        <v>60</v>
      </c>
      <c r="N55" s="39">
        <f ca="1">DATEDIF(H55,$R$1,"D")</f>
        <v>119</v>
      </c>
      <c r="O55" s="40">
        <f t="shared" ca="1" si="0"/>
        <v>3.9666666666666668</v>
      </c>
      <c r="P55" s="41"/>
      <c r="Q55" s="41"/>
      <c r="R55" s="44"/>
    </row>
    <row r="56" spans="1:18" ht="20.25">
      <c r="A56" s="32">
        <f t="shared" si="1"/>
        <v>53</v>
      </c>
      <c r="B56" s="33" t="s">
        <v>164</v>
      </c>
      <c r="C56" s="33" t="s">
        <v>165</v>
      </c>
      <c r="D56" s="34" t="s">
        <v>166</v>
      </c>
      <c r="E56" s="35" t="s">
        <v>27</v>
      </c>
      <c r="F56" s="32" t="s">
        <v>28</v>
      </c>
      <c r="G56" s="36" t="s">
        <v>60</v>
      </c>
      <c r="H56" s="37">
        <v>45775</v>
      </c>
      <c r="I56" s="36" t="s">
        <v>30</v>
      </c>
      <c r="J56" s="38">
        <v>45752</v>
      </c>
      <c r="K56" s="38">
        <v>2958465</v>
      </c>
      <c r="L56" s="36" t="s">
        <v>31</v>
      </c>
      <c r="M56" s="36" t="s">
        <v>60</v>
      </c>
      <c r="N56" s="39">
        <f ca="1">DATEDIF(H56,$R$1,"D")</f>
        <v>429</v>
      </c>
      <c r="O56" s="40">
        <f t="shared" ca="1" si="0"/>
        <v>14.3</v>
      </c>
      <c r="P56" s="41"/>
      <c r="Q56" s="41"/>
      <c r="R56" s="44"/>
    </row>
    <row r="57" spans="1:18" ht="20.25">
      <c r="A57" s="32">
        <f t="shared" si="1"/>
        <v>54</v>
      </c>
      <c r="B57" s="33" t="s">
        <v>167</v>
      </c>
      <c r="C57" s="33" t="s">
        <v>168</v>
      </c>
      <c r="D57" s="34" t="s">
        <v>169</v>
      </c>
      <c r="E57" s="35" t="s">
        <v>27</v>
      </c>
      <c r="F57" s="32" t="s">
        <v>28</v>
      </c>
      <c r="G57" s="36" t="s">
        <v>60</v>
      </c>
      <c r="H57" s="37">
        <v>45752</v>
      </c>
      <c r="I57" s="36" t="s">
        <v>30</v>
      </c>
      <c r="J57" s="38">
        <v>45734</v>
      </c>
      <c r="K57" s="38">
        <v>2958465</v>
      </c>
      <c r="L57" s="36" t="s">
        <v>31</v>
      </c>
      <c r="M57" s="36" t="s">
        <v>60</v>
      </c>
      <c r="N57" s="39">
        <f ca="1">DATEDIF(H57,$R$1,"D")</f>
        <v>452</v>
      </c>
      <c r="O57" s="40">
        <f t="shared" ca="1" si="0"/>
        <v>15.066666666666666</v>
      </c>
      <c r="P57" s="41"/>
      <c r="Q57" s="41"/>
      <c r="R57" s="44"/>
    </row>
    <row r="58" spans="1:18" ht="20.25">
      <c r="A58" s="32">
        <f t="shared" si="1"/>
        <v>55</v>
      </c>
      <c r="B58" s="33" t="s">
        <v>170</v>
      </c>
      <c r="C58" s="33" t="s">
        <v>171</v>
      </c>
      <c r="D58" s="34" t="s">
        <v>172</v>
      </c>
      <c r="E58" s="35" t="s">
        <v>27</v>
      </c>
      <c r="F58" s="32" t="s">
        <v>28</v>
      </c>
      <c r="G58" s="36" t="s">
        <v>60</v>
      </c>
      <c r="H58" s="37">
        <v>46150</v>
      </c>
      <c r="I58" s="36" t="s">
        <v>30</v>
      </c>
      <c r="J58" s="38">
        <v>45719</v>
      </c>
      <c r="K58" s="38">
        <v>2958465</v>
      </c>
      <c r="L58" s="36" t="s">
        <v>31</v>
      </c>
      <c r="M58" s="36" t="s">
        <v>60</v>
      </c>
      <c r="N58" s="39">
        <f ca="1">DATEDIF(H58,$R$1,"D")</f>
        <v>54</v>
      </c>
      <c r="O58" s="40">
        <f t="shared" ca="1" si="0"/>
        <v>1.8</v>
      </c>
      <c r="P58" s="41"/>
      <c r="Q58" s="41"/>
      <c r="R58" s="44"/>
    </row>
    <row r="59" spans="1:18" ht="20.25">
      <c r="A59" s="32">
        <f t="shared" si="1"/>
        <v>56</v>
      </c>
      <c r="B59" s="33" t="s">
        <v>170</v>
      </c>
      <c r="C59" s="33" t="s">
        <v>171</v>
      </c>
      <c r="D59" s="34" t="s">
        <v>173</v>
      </c>
      <c r="E59" s="35" t="s">
        <v>27</v>
      </c>
      <c r="F59" s="32" t="s">
        <v>28</v>
      </c>
      <c r="G59" s="36" t="s">
        <v>60</v>
      </c>
      <c r="H59" s="37">
        <v>46150</v>
      </c>
      <c r="I59" s="36" t="s">
        <v>30</v>
      </c>
      <c r="J59" s="38">
        <v>45719</v>
      </c>
      <c r="K59" s="38">
        <v>2958465</v>
      </c>
      <c r="L59" s="36" t="s">
        <v>31</v>
      </c>
      <c r="M59" s="36" t="s">
        <v>60</v>
      </c>
      <c r="N59" s="39">
        <f ca="1">DATEDIF(H59,$R$1,"D")</f>
        <v>54</v>
      </c>
      <c r="O59" s="40">
        <f t="shared" ca="1" si="0"/>
        <v>1.8</v>
      </c>
      <c r="P59" s="41"/>
      <c r="Q59" s="41"/>
      <c r="R59" s="44"/>
    </row>
    <row r="60" spans="1:18" ht="20.25">
      <c r="A60" s="32">
        <f t="shared" si="1"/>
        <v>57</v>
      </c>
      <c r="B60" s="33" t="s">
        <v>174</v>
      </c>
      <c r="C60" s="33" t="s">
        <v>175</v>
      </c>
      <c r="D60" s="34" t="s">
        <v>176</v>
      </c>
      <c r="E60" s="35" t="s">
        <v>27</v>
      </c>
      <c r="F60" s="32" t="s">
        <v>28</v>
      </c>
      <c r="G60" s="36" t="s">
        <v>60</v>
      </c>
      <c r="H60" s="37">
        <v>45621</v>
      </c>
      <c r="I60" s="36" t="s">
        <v>30</v>
      </c>
      <c r="J60" s="38">
        <v>45402</v>
      </c>
      <c r="K60" s="38">
        <v>2958465</v>
      </c>
      <c r="L60" s="36" t="s">
        <v>31</v>
      </c>
      <c r="M60" s="36" t="s">
        <v>60</v>
      </c>
      <c r="N60" s="39">
        <f ca="1">DATEDIF(H60,$R$1,"D")</f>
        <v>583</v>
      </c>
      <c r="O60" s="40">
        <f t="shared" ca="1" si="0"/>
        <v>19.433333333333334</v>
      </c>
      <c r="P60" s="41"/>
      <c r="Q60" s="41"/>
      <c r="R60" s="44"/>
    </row>
    <row r="61" spans="1:18" ht="20.25">
      <c r="A61" s="32">
        <f t="shared" si="1"/>
        <v>58</v>
      </c>
      <c r="B61" s="33" t="s">
        <v>177</v>
      </c>
      <c r="C61" s="33" t="s">
        <v>178</v>
      </c>
      <c r="D61" s="34" t="s">
        <v>65</v>
      </c>
      <c r="E61" s="35" t="s">
        <v>27</v>
      </c>
      <c r="F61" s="32" t="s">
        <v>28</v>
      </c>
      <c r="G61" s="36" t="s">
        <v>179</v>
      </c>
      <c r="H61" s="37">
        <v>46077</v>
      </c>
      <c r="I61" s="36" t="s">
        <v>30</v>
      </c>
      <c r="J61" s="38">
        <v>46072</v>
      </c>
      <c r="K61" s="38">
        <v>2958465</v>
      </c>
      <c r="L61" s="36" t="s">
        <v>31</v>
      </c>
      <c r="M61" s="36" t="s">
        <v>60</v>
      </c>
      <c r="N61" s="39">
        <f ca="1">DATEDIF(H61,$R$1,"D")</f>
        <v>127</v>
      </c>
      <c r="O61" s="40">
        <f t="shared" ca="1" si="0"/>
        <v>4.2333333333333334</v>
      </c>
      <c r="P61" s="41"/>
      <c r="Q61" s="41"/>
      <c r="R61" s="44"/>
    </row>
    <row r="62" spans="1:18" ht="20.25">
      <c r="A62" s="32">
        <f t="shared" si="1"/>
        <v>59</v>
      </c>
      <c r="B62" s="33" t="s">
        <v>180</v>
      </c>
      <c r="C62" s="33" t="s">
        <v>181</v>
      </c>
      <c r="D62" s="34" t="s">
        <v>182</v>
      </c>
      <c r="E62" s="35" t="s">
        <v>27</v>
      </c>
      <c r="F62" s="32" t="s">
        <v>28</v>
      </c>
      <c r="G62" s="36" t="s">
        <v>183</v>
      </c>
      <c r="H62" s="37">
        <v>46085</v>
      </c>
      <c r="I62" s="36" t="s">
        <v>30</v>
      </c>
      <c r="J62" s="38">
        <v>46083</v>
      </c>
      <c r="K62" s="38">
        <v>2958465</v>
      </c>
      <c r="L62" s="36" t="s">
        <v>31</v>
      </c>
      <c r="M62" s="36" t="s">
        <v>60</v>
      </c>
      <c r="N62" s="39">
        <f ca="1">DATEDIF(H62,$R$1,"D")</f>
        <v>119</v>
      </c>
      <c r="O62" s="40">
        <f t="shared" ca="1" si="0"/>
        <v>3.9666666666666668</v>
      </c>
      <c r="P62" s="41"/>
      <c r="Q62" s="41"/>
      <c r="R62" s="42"/>
    </row>
    <row r="63" spans="1:18" ht="20.25">
      <c r="A63" s="32">
        <f t="shared" si="1"/>
        <v>60</v>
      </c>
      <c r="B63" s="33" t="s">
        <v>184</v>
      </c>
      <c r="C63" s="33" t="s">
        <v>185</v>
      </c>
      <c r="D63" s="34" t="s">
        <v>186</v>
      </c>
      <c r="E63" s="35" t="s">
        <v>27</v>
      </c>
      <c r="F63" s="32" t="s">
        <v>28</v>
      </c>
      <c r="G63" s="36" t="s">
        <v>187</v>
      </c>
      <c r="H63" s="37">
        <v>46059</v>
      </c>
      <c r="I63" s="36" t="s">
        <v>30</v>
      </c>
      <c r="J63" s="38">
        <v>46055</v>
      </c>
      <c r="K63" s="38">
        <v>2958465</v>
      </c>
      <c r="L63" s="36" t="s">
        <v>31</v>
      </c>
      <c r="M63" s="36" t="s">
        <v>60</v>
      </c>
      <c r="N63" s="39">
        <f ca="1">DATEDIF(H63,$R$1,"D")</f>
        <v>145</v>
      </c>
      <c r="O63" s="40">
        <f t="shared" ca="1" si="0"/>
        <v>4.833333333333333</v>
      </c>
      <c r="P63" s="41"/>
      <c r="Q63" s="41"/>
      <c r="R63" s="42"/>
    </row>
    <row r="64" spans="1:18" ht="20.25">
      <c r="A64" s="32">
        <f t="shared" si="1"/>
        <v>61</v>
      </c>
      <c r="B64" s="33" t="s">
        <v>188</v>
      </c>
      <c r="C64" s="33" t="s">
        <v>189</v>
      </c>
      <c r="D64" s="34" t="s">
        <v>190</v>
      </c>
      <c r="E64" s="35" t="s">
        <v>27</v>
      </c>
      <c r="F64" s="32" t="s">
        <v>28</v>
      </c>
      <c r="G64" s="36" t="s">
        <v>191</v>
      </c>
      <c r="H64" s="37">
        <v>46077</v>
      </c>
      <c r="I64" s="36" t="s">
        <v>30</v>
      </c>
      <c r="J64" s="38">
        <v>46069</v>
      </c>
      <c r="K64" s="38">
        <v>2958465</v>
      </c>
      <c r="L64" s="36" t="s">
        <v>31</v>
      </c>
      <c r="M64" s="36" t="s">
        <v>60</v>
      </c>
      <c r="N64" s="39">
        <f ca="1">DATEDIF(H64,$R$1,"D")</f>
        <v>127</v>
      </c>
      <c r="O64" s="40">
        <f t="shared" ca="1" si="0"/>
        <v>4.2333333333333334</v>
      </c>
      <c r="P64" s="41"/>
      <c r="Q64" s="41"/>
      <c r="R64" s="44"/>
    </row>
    <row r="65" spans="1:18" ht="20.25">
      <c r="A65" s="32">
        <f t="shared" si="1"/>
        <v>62</v>
      </c>
      <c r="B65" s="33" t="s">
        <v>192</v>
      </c>
      <c r="C65" s="33" t="s">
        <v>193</v>
      </c>
      <c r="D65" s="34" t="s">
        <v>194</v>
      </c>
      <c r="E65" s="35" t="s">
        <v>27</v>
      </c>
      <c r="F65" s="32" t="s">
        <v>28</v>
      </c>
      <c r="G65" s="36" t="s">
        <v>195</v>
      </c>
      <c r="H65" s="37">
        <v>46188</v>
      </c>
      <c r="I65" s="36" t="s">
        <v>30</v>
      </c>
      <c r="J65" s="38">
        <v>46182</v>
      </c>
      <c r="K65" s="38">
        <v>2958465</v>
      </c>
      <c r="L65" s="36" t="s">
        <v>31</v>
      </c>
      <c r="M65" s="36" t="s">
        <v>60</v>
      </c>
      <c r="N65" s="39">
        <f ca="1">DATEDIF(H65,$R$1,"D")</f>
        <v>16</v>
      </c>
      <c r="O65" s="40">
        <f t="shared" ca="1" si="0"/>
        <v>0.53333333333333333</v>
      </c>
      <c r="P65" s="41"/>
      <c r="Q65" s="41"/>
      <c r="R65" s="44"/>
    </row>
    <row r="66" spans="1:18" ht="20.25">
      <c r="A66" s="32">
        <f t="shared" si="1"/>
        <v>63</v>
      </c>
      <c r="B66" s="33" t="s">
        <v>196</v>
      </c>
      <c r="C66" s="33" t="s">
        <v>197</v>
      </c>
      <c r="D66" s="34" t="s">
        <v>198</v>
      </c>
      <c r="E66" s="35" t="s">
        <v>27</v>
      </c>
      <c r="F66" s="32" t="s">
        <v>28</v>
      </c>
      <c r="G66" s="36" t="s">
        <v>199</v>
      </c>
      <c r="H66" s="37">
        <v>46077</v>
      </c>
      <c r="I66" s="36" t="s">
        <v>30</v>
      </c>
      <c r="J66" s="38">
        <v>46074</v>
      </c>
      <c r="K66" s="38">
        <v>2958465</v>
      </c>
      <c r="L66" s="36" t="s">
        <v>31</v>
      </c>
      <c r="M66" s="36" t="s">
        <v>60</v>
      </c>
      <c r="N66" s="39">
        <f ca="1">DATEDIF(H66,$R$1,"D")</f>
        <v>127</v>
      </c>
      <c r="O66" s="40">
        <f t="shared" ca="1" si="0"/>
        <v>4.2333333333333334</v>
      </c>
      <c r="P66" s="41"/>
      <c r="Q66" s="41"/>
      <c r="R66" s="42"/>
    </row>
    <row r="67" spans="1:18" ht="20.25">
      <c r="A67" s="32">
        <f t="shared" si="1"/>
        <v>64</v>
      </c>
      <c r="B67" s="33" t="s">
        <v>200</v>
      </c>
      <c r="C67" s="33" t="s">
        <v>201</v>
      </c>
      <c r="D67" s="34" t="s">
        <v>202</v>
      </c>
      <c r="E67" s="35" t="s">
        <v>27</v>
      </c>
      <c r="F67" s="32" t="s">
        <v>28</v>
      </c>
      <c r="G67" s="36" t="s">
        <v>203</v>
      </c>
      <c r="H67" s="37">
        <v>46118</v>
      </c>
      <c r="I67" s="36" t="s">
        <v>30</v>
      </c>
      <c r="J67" s="38">
        <v>46105</v>
      </c>
      <c r="K67" s="38">
        <v>2958465</v>
      </c>
      <c r="L67" s="36" t="s">
        <v>31</v>
      </c>
      <c r="M67" s="36" t="s">
        <v>60</v>
      </c>
      <c r="N67" s="39">
        <f ca="1">DATEDIF(H67,$R$1,"D")</f>
        <v>86</v>
      </c>
      <c r="O67" s="40">
        <f t="shared" ca="1" si="0"/>
        <v>2.8666666666666667</v>
      </c>
      <c r="P67" s="41"/>
      <c r="Q67" s="41"/>
      <c r="R67" s="42"/>
    </row>
    <row r="68" spans="1:18" ht="20.25">
      <c r="A68" s="32">
        <f t="shared" si="1"/>
        <v>65</v>
      </c>
      <c r="B68" s="33" t="s">
        <v>204</v>
      </c>
      <c r="C68" s="33" t="s">
        <v>205</v>
      </c>
      <c r="D68" s="34" t="s">
        <v>206</v>
      </c>
      <c r="E68" s="35" t="s">
        <v>27</v>
      </c>
      <c r="F68" s="32" t="s">
        <v>28</v>
      </c>
      <c r="G68" s="36" t="s">
        <v>207</v>
      </c>
      <c r="H68" s="37">
        <v>46059</v>
      </c>
      <c r="I68" s="36" t="s">
        <v>30</v>
      </c>
      <c r="J68" s="38">
        <v>45128</v>
      </c>
      <c r="K68" s="38">
        <v>2958465</v>
      </c>
      <c r="L68" s="36" t="s">
        <v>31</v>
      </c>
      <c r="M68" s="36" t="s">
        <v>60</v>
      </c>
      <c r="N68" s="39">
        <f ca="1">DATEDIF(H68,$R$1,"D")</f>
        <v>145</v>
      </c>
      <c r="O68" s="40">
        <f t="shared" ref="O68:O98" ca="1" si="2">N68/30</f>
        <v>4.833333333333333</v>
      </c>
      <c r="P68" s="41"/>
      <c r="Q68" s="41"/>
      <c r="R68" s="42"/>
    </row>
    <row r="69" spans="1:18" ht="20.25">
      <c r="A69" s="32">
        <f t="shared" si="1"/>
        <v>66</v>
      </c>
      <c r="B69" s="33" t="s">
        <v>208</v>
      </c>
      <c r="C69" s="33" t="s">
        <v>209</v>
      </c>
      <c r="D69" s="34" t="s">
        <v>210</v>
      </c>
      <c r="E69" s="35" t="s">
        <v>27</v>
      </c>
      <c r="F69" s="32" t="s">
        <v>28</v>
      </c>
      <c r="G69" s="36" t="s">
        <v>211</v>
      </c>
      <c r="H69" s="37">
        <v>46188</v>
      </c>
      <c r="I69" s="36" t="s">
        <v>30</v>
      </c>
      <c r="J69" s="38">
        <v>46183</v>
      </c>
      <c r="K69" s="38">
        <v>2958465</v>
      </c>
      <c r="L69" s="36" t="s">
        <v>31</v>
      </c>
      <c r="M69" s="36" t="s">
        <v>60</v>
      </c>
      <c r="N69" s="39">
        <f ca="1">DATEDIF(H69,$R$1,"D")</f>
        <v>16</v>
      </c>
      <c r="O69" s="40">
        <f t="shared" ca="1" si="2"/>
        <v>0.53333333333333333</v>
      </c>
      <c r="P69" s="41"/>
      <c r="Q69" s="41"/>
      <c r="R69" s="42"/>
    </row>
    <row r="70" spans="1:18" ht="20.25">
      <c r="A70" s="32">
        <f t="shared" ref="A70:A98" si="3">1+A69</f>
        <v>67</v>
      </c>
      <c r="B70" s="33" t="s">
        <v>212</v>
      </c>
      <c r="C70" s="33" t="s">
        <v>213</v>
      </c>
      <c r="D70" s="34" t="s">
        <v>214</v>
      </c>
      <c r="E70" s="35" t="s">
        <v>27</v>
      </c>
      <c r="F70" s="32" t="s">
        <v>28</v>
      </c>
      <c r="G70" s="36" t="s">
        <v>215</v>
      </c>
      <c r="H70" s="37">
        <v>46188</v>
      </c>
      <c r="I70" s="36" t="s">
        <v>30</v>
      </c>
      <c r="J70" s="38">
        <v>46183</v>
      </c>
      <c r="K70" s="38">
        <v>2958465</v>
      </c>
      <c r="L70" s="36" t="s">
        <v>31</v>
      </c>
      <c r="M70" s="36" t="s">
        <v>60</v>
      </c>
      <c r="N70" s="39">
        <f ca="1">DATEDIF(H70,$R$1,"D")</f>
        <v>16</v>
      </c>
      <c r="O70" s="40">
        <f t="shared" ca="1" si="2"/>
        <v>0.53333333333333333</v>
      </c>
      <c r="P70" s="41"/>
      <c r="Q70" s="41"/>
      <c r="R70" s="42"/>
    </row>
    <row r="71" spans="1:18" ht="20.25">
      <c r="A71" s="32">
        <f t="shared" si="3"/>
        <v>68</v>
      </c>
      <c r="B71" s="33" t="s">
        <v>216</v>
      </c>
      <c r="C71" s="33" t="s">
        <v>217</v>
      </c>
      <c r="D71" s="34" t="s">
        <v>218</v>
      </c>
      <c r="E71" s="35" t="s">
        <v>27</v>
      </c>
      <c r="F71" s="32" t="s">
        <v>28</v>
      </c>
      <c r="G71" s="36" t="s">
        <v>219</v>
      </c>
      <c r="H71" s="37">
        <v>46188</v>
      </c>
      <c r="I71" s="36" t="s">
        <v>30</v>
      </c>
      <c r="J71" s="38">
        <v>46177</v>
      </c>
      <c r="K71" s="38">
        <v>2958465</v>
      </c>
      <c r="L71" s="36" t="s">
        <v>31</v>
      </c>
      <c r="M71" s="36" t="s">
        <v>60</v>
      </c>
      <c r="N71" s="39">
        <f ca="1">DATEDIF(H71,$R$1,"D")</f>
        <v>16</v>
      </c>
      <c r="O71" s="40">
        <f t="shared" ca="1" si="2"/>
        <v>0.53333333333333333</v>
      </c>
      <c r="P71" s="41"/>
      <c r="Q71" s="41"/>
      <c r="R71" s="42"/>
    </row>
    <row r="72" spans="1:18" ht="20.25">
      <c r="A72" s="32">
        <f t="shared" si="3"/>
        <v>69</v>
      </c>
      <c r="B72" s="33" t="s">
        <v>220</v>
      </c>
      <c r="C72" s="33" t="s">
        <v>221</v>
      </c>
      <c r="D72" s="34" t="s">
        <v>222</v>
      </c>
      <c r="E72" s="35" t="s">
        <v>27</v>
      </c>
      <c r="F72" s="32" t="s">
        <v>28</v>
      </c>
      <c r="G72" s="36" t="s">
        <v>223</v>
      </c>
      <c r="H72" s="37">
        <v>46188</v>
      </c>
      <c r="I72" s="36" t="s">
        <v>30</v>
      </c>
      <c r="J72" s="38">
        <v>46177</v>
      </c>
      <c r="K72" s="38">
        <v>2958465</v>
      </c>
      <c r="L72" s="36" t="s">
        <v>31</v>
      </c>
      <c r="M72" s="36" t="s">
        <v>60</v>
      </c>
      <c r="N72" s="39">
        <f ca="1">DATEDIF(H72,$R$1,"D")</f>
        <v>16</v>
      </c>
      <c r="O72" s="40">
        <f t="shared" ca="1" si="2"/>
        <v>0.53333333333333333</v>
      </c>
      <c r="P72" s="41"/>
      <c r="Q72" s="41"/>
      <c r="R72" s="42"/>
    </row>
    <row r="73" spans="1:18" ht="20.25">
      <c r="A73" s="32">
        <f t="shared" si="3"/>
        <v>70</v>
      </c>
      <c r="B73" s="33" t="s">
        <v>224</v>
      </c>
      <c r="C73" s="33" t="s">
        <v>225</v>
      </c>
      <c r="D73" s="34" t="s">
        <v>226</v>
      </c>
      <c r="E73" s="35" t="s">
        <v>27</v>
      </c>
      <c r="F73" s="32" t="s">
        <v>28</v>
      </c>
      <c r="G73" s="36" t="s">
        <v>227</v>
      </c>
      <c r="H73" s="37">
        <v>46067</v>
      </c>
      <c r="I73" s="36" t="s">
        <v>30</v>
      </c>
      <c r="J73" s="38">
        <v>46064</v>
      </c>
      <c r="K73" s="38">
        <v>2958465</v>
      </c>
      <c r="L73" s="36" t="s">
        <v>31</v>
      </c>
      <c r="M73" s="36" t="s">
        <v>60</v>
      </c>
      <c r="N73" s="39">
        <f ca="1">DATEDIF(H73,$R$1,"D")</f>
        <v>137</v>
      </c>
      <c r="O73" s="40">
        <f t="shared" ca="1" si="2"/>
        <v>4.5666666666666664</v>
      </c>
      <c r="P73" s="41"/>
      <c r="Q73" s="41"/>
      <c r="R73" s="42"/>
    </row>
    <row r="74" spans="1:18" ht="20.25">
      <c r="A74" s="32">
        <f t="shared" si="3"/>
        <v>71</v>
      </c>
      <c r="B74" s="33" t="s">
        <v>228</v>
      </c>
      <c r="C74" s="33" t="s">
        <v>229</v>
      </c>
      <c r="D74" s="34" t="s">
        <v>230</v>
      </c>
      <c r="E74" s="35" t="s">
        <v>27</v>
      </c>
      <c r="F74" s="32" t="s">
        <v>28</v>
      </c>
      <c r="G74" s="36" t="s">
        <v>231</v>
      </c>
      <c r="H74" s="37">
        <v>46057</v>
      </c>
      <c r="I74" s="36" t="s">
        <v>30</v>
      </c>
      <c r="J74" s="38">
        <v>46024</v>
      </c>
      <c r="K74" s="38">
        <v>2958465</v>
      </c>
      <c r="L74" s="36" t="s">
        <v>31</v>
      </c>
      <c r="M74" s="36" t="s">
        <v>60</v>
      </c>
      <c r="N74" s="39">
        <f ca="1">DATEDIF(H74,$R$1,"D")</f>
        <v>147</v>
      </c>
      <c r="O74" s="40">
        <f t="shared" ca="1" si="2"/>
        <v>4.9000000000000004</v>
      </c>
      <c r="P74" s="41"/>
      <c r="Q74" s="41"/>
      <c r="R74" s="42"/>
    </row>
    <row r="75" spans="1:18" ht="20.25">
      <c r="A75" s="32">
        <f t="shared" si="3"/>
        <v>72</v>
      </c>
      <c r="B75" s="33" t="s">
        <v>232</v>
      </c>
      <c r="C75" s="33" t="s">
        <v>233</v>
      </c>
      <c r="D75" s="34" t="s">
        <v>234</v>
      </c>
      <c r="E75" s="35" t="s">
        <v>27</v>
      </c>
      <c r="F75" s="32" t="s">
        <v>28</v>
      </c>
      <c r="G75" s="36" t="s">
        <v>235</v>
      </c>
      <c r="H75" s="37">
        <v>46132</v>
      </c>
      <c r="I75" s="36" t="s">
        <v>30</v>
      </c>
      <c r="J75" s="38">
        <v>45633</v>
      </c>
      <c r="K75" s="38">
        <v>2958465</v>
      </c>
      <c r="L75" s="36" t="s">
        <v>31</v>
      </c>
      <c r="M75" s="36" t="s">
        <v>236</v>
      </c>
      <c r="N75" s="39">
        <f ca="1">DATEDIF(H75,$R$1,"D")</f>
        <v>72</v>
      </c>
      <c r="O75" s="40">
        <f t="shared" ca="1" si="2"/>
        <v>2.4</v>
      </c>
      <c r="P75" s="41"/>
      <c r="Q75" s="41"/>
      <c r="R75" s="42"/>
    </row>
    <row r="76" spans="1:18" ht="20.25">
      <c r="A76" s="32">
        <f t="shared" si="3"/>
        <v>73</v>
      </c>
      <c r="B76" s="33" t="s">
        <v>232</v>
      </c>
      <c r="C76" s="33" t="s">
        <v>233</v>
      </c>
      <c r="D76" s="34" t="s">
        <v>237</v>
      </c>
      <c r="E76" s="35" t="s">
        <v>27</v>
      </c>
      <c r="F76" s="32" t="s">
        <v>28</v>
      </c>
      <c r="G76" s="36" t="s">
        <v>238</v>
      </c>
      <c r="H76" s="37">
        <v>46132</v>
      </c>
      <c r="I76" s="36" t="s">
        <v>30</v>
      </c>
      <c r="J76" s="38">
        <v>45637</v>
      </c>
      <c r="K76" s="38">
        <v>2958465</v>
      </c>
      <c r="L76" s="36" t="s">
        <v>31</v>
      </c>
      <c r="M76" s="36" t="s">
        <v>236</v>
      </c>
      <c r="N76" s="39">
        <f ca="1">DATEDIF(H76,$R$1,"D")</f>
        <v>72</v>
      </c>
      <c r="O76" s="40">
        <f t="shared" ca="1" si="2"/>
        <v>2.4</v>
      </c>
      <c r="P76" s="41"/>
      <c r="Q76" s="41"/>
      <c r="R76" s="42"/>
    </row>
    <row r="77" spans="1:18" ht="20.25">
      <c r="A77" s="32">
        <f t="shared" si="3"/>
        <v>74</v>
      </c>
      <c r="B77" s="33" t="s">
        <v>239</v>
      </c>
      <c r="C77" s="33" t="s">
        <v>240</v>
      </c>
      <c r="D77" s="34" t="s">
        <v>241</v>
      </c>
      <c r="E77" s="35" t="s">
        <v>27</v>
      </c>
      <c r="F77" s="32" t="s">
        <v>28</v>
      </c>
      <c r="G77" s="36" t="s">
        <v>60</v>
      </c>
      <c r="H77" s="37">
        <v>46188</v>
      </c>
      <c r="I77" s="36" t="s">
        <v>30</v>
      </c>
      <c r="J77" s="38">
        <v>45359</v>
      </c>
      <c r="K77" s="38">
        <v>2958465</v>
      </c>
      <c r="L77" s="36" t="s">
        <v>31</v>
      </c>
      <c r="M77" s="36" t="s">
        <v>60</v>
      </c>
      <c r="N77" s="39">
        <f ca="1">DATEDIF(H77,$R$1,"D")</f>
        <v>16</v>
      </c>
      <c r="O77" s="40">
        <f t="shared" ca="1" si="2"/>
        <v>0.53333333333333333</v>
      </c>
      <c r="P77" s="41"/>
      <c r="Q77" s="41"/>
      <c r="R77" s="42"/>
    </row>
    <row r="78" spans="1:18" ht="20.25">
      <c r="A78" s="32">
        <f t="shared" si="3"/>
        <v>75</v>
      </c>
      <c r="B78" s="33" t="s">
        <v>242</v>
      </c>
      <c r="C78" s="33" t="s">
        <v>243</v>
      </c>
      <c r="D78" s="34" t="s">
        <v>244</v>
      </c>
      <c r="E78" s="35" t="s">
        <v>27</v>
      </c>
      <c r="F78" s="32" t="s">
        <v>28</v>
      </c>
      <c r="G78" s="36" t="s">
        <v>60</v>
      </c>
      <c r="H78" s="37">
        <v>46188</v>
      </c>
      <c r="I78" s="36" t="s">
        <v>30</v>
      </c>
      <c r="J78" s="38">
        <v>45355</v>
      </c>
      <c r="K78" s="38">
        <v>2958465</v>
      </c>
      <c r="L78" s="36" t="s">
        <v>31</v>
      </c>
      <c r="M78" s="36" t="s">
        <v>60</v>
      </c>
      <c r="N78" s="39">
        <f ca="1">DATEDIF(H78,$R$1,"D")</f>
        <v>16</v>
      </c>
      <c r="O78" s="40">
        <f t="shared" ca="1" si="2"/>
        <v>0.53333333333333333</v>
      </c>
      <c r="P78" s="41"/>
      <c r="Q78" s="41"/>
      <c r="R78" s="42"/>
    </row>
    <row r="79" spans="1:18" ht="20.25">
      <c r="A79" s="32">
        <f t="shared" si="3"/>
        <v>76</v>
      </c>
      <c r="B79" s="33" t="s">
        <v>245</v>
      </c>
      <c r="C79" s="33" t="s">
        <v>246</v>
      </c>
      <c r="D79" s="34" t="s">
        <v>247</v>
      </c>
      <c r="E79" s="35" t="s">
        <v>27</v>
      </c>
      <c r="F79" s="32" t="s">
        <v>28</v>
      </c>
      <c r="G79" s="36" t="s">
        <v>248</v>
      </c>
      <c r="H79" s="37">
        <v>46188</v>
      </c>
      <c r="I79" s="36" t="s">
        <v>30</v>
      </c>
      <c r="J79" s="38">
        <v>46186</v>
      </c>
      <c r="K79" s="38">
        <v>2958465</v>
      </c>
      <c r="L79" s="36" t="s">
        <v>31</v>
      </c>
      <c r="M79" s="36" t="s">
        <v>60</v>
      </c>
      <c r="N79" s="39">
        <f ca="1">DATEDIF(H79,$R$1,"D")</f>
        <v>16</v>
      </c>
      <c r="O79" s="40">
        <f t="shared" ca="1" si="2"/>
        <v>0.53333333333333333</v>
      </c>
      <c r="P79" s="41"/>
      <c r="Q79" s="41"/>
      <c r="R79" s="42"/>
    </row>
    <row r="80" spans="1:18" ht="20.25">
      <c r="A80" s="32">
        <f t="shared" si="3"/>
        <v>77</v>
      </c>
      <c r="B80" s="33" t="s">
        <v>245</v>
      </c>
      <c r="C80" s="33" t="s">
        <v>246</v>
      </c>
      <c r="D80" s="34" t="s">
        <v>249</v>
      </c>
      <c r="E80" s="35" t="s">
        <v>27</v>
      </c>
      <c r="F80" s="32" t="s">
        <v>28</v>
      </c>
      <c r="G80" s="36" t="s">
        <v>250</v>
      </c>
      <c r="H80" s="37">
        <v>46188</v>
      </c>
      <c r="I80" s="36" t="s">
        <v>30</v>
      </c>
      <c r="J80" s="38">
        <v>46186</v>
      </c>
      <c r="K80" s="38">
        <v>2958465</v>
      </c>
      <c r="L80" s="36" t="s">
        <v>31</v>
      </c>
      <c r="M80" s="36" t="s">
        <v>60</v>
      </c>
      <c r="N80" s="39">
        <f ca="1">DATEDIF(H80,$R$1,"D")</f>
        <v>16</v>
      </c>
      <c r="O80" s="40">
        <f t="shared" ca="1" si="2"/>
        <v>0.53333333333333333</v>
      </c>
      <c r="P80" s="41"/>
      <c r="Q80" s="41"/>
      <c r="R80" s="42"/>
    </row>
    <row r="81" spans="1:18" ht="20.25">
      <c r="A81" s="32">
        <f t="shared" si="3"/>
        <v>78</v>
      </c>
      <c r="B81" s="33" t="s">
        <v>251</v>
      </c>
      <c r="C81" s="33" t="s">
        <v>252</v>
      </c>
      <c r="D81" s="34" t="s">
        <v>253</v>
      </c>
      <c r="E81" s="35" t="s">
        <v>27</v>
      </c>
      <c r="F81" s="32" t="s">
        <v>28</v>
      </c>
      <c r="G81" s="36" t="s">
        <v>254</v>
      </c>
      <c r="H81" s="37">
        <v>46188</v>
      </c>
      <c r="I81" s="36" t="s">
        <v>30</v>
      </c>
      <c r="J81" s="38">
        <v>46168</v>
      </c>
      <c r="K81" s="38">
        <v>2958465</v>
      </c>
      <c r="L81" s="36" t="s">
        <v>31</v>
      </c>
      <c r="M81" s="36" t="s">
        <v>60</v>
      </c>
      <c r="N81" s="39">
        <f ca="1">DATEDIF(H81,$R$1,"D")</f>
        <v>16</v>
      </c>
      <c r="O81" s="40">
        <f t="shared" ca="1" si="2"/>
        <v>0.53333333333333333</v>
      </c>
      <c r="P81" s="41"/>
      <c r="Q81" s="41"/>
      <c r="R81" s="42"/>
    </row>
    <row r="82" spans="1:18" ht="20.25">
      <c r="A82" s="32">
        <f t="shared" si="3"/>
        <v>79</v>
      </c>
      <c r="B82" s="33" t="s">
        <v>251</v>
      </c>
      <c r="C82" s="33" t="s">
        <v>252</v>
      </c>
      <c r="D82" s="34" t="s">
        <v>255</v>
      </c>
      <c r="E82" s="35" t="s">
        <v>27</v>
      </c>
      <c r="F82" s="32" t="s">
        <v>28</v>
      </c>
      <c r="G82" s="36" t="s">
        <v>256</v>
      </c>
      <c r="H82" s="37">
        <v>46188</v>
      </c>
      <c r="I82" s="36" t="s">
        <v>30</v>
      </c>
      <c r="J82" s="38">
        <v>46168</v>
      </c>
      <c r="K82" s="38">
        <v>2958465</v>
      </c>
      <c r="L82" s="36" t="s">
        <v>31</v>
      </c>
      <c r="M82" s="36" t="s">
        <v>60</v>
      </c>
      <c r="N82" s="39">
        <f ca="1">DATEDIF(H82,$R$1,"D")</f>
        <v>16</v>
      </c>
      <c r="O82" s="40">
        <f t="shared" ca="1" si="2"/>
        <v>0.53333333333333333</v>
      </c>
      <c r="P82" s="41"/>
      <c r="Q82" s="41"/>
      <c r="R82" s="42"/>
    </row>
    <row r="83" spans="1:18" ht="20.25">
      <c r="A83" s="32">
        <f t="shared" si="3"/>
        <v>80</v>
      </c>
      <c r="B83" s="33" t="s">
        <v>257</v>
      </c>
      <c r="C83" s="33" t="s">
        <v>258</v>
      </c>
      <c r="D83" s="34" t="s">
        <v>190</v>
      </c>
      <c r="E83" s="35" t="s">
        <v>27</v>
      </c>
      <c r="F83" s="32" t="s">
        <v>28</v>
      </c>
      <c r="G83" s="36" t="s">
        <v>259</v>
      </c>
      <c r="H83" s="37">
        <v>46188</v>
      </c>
      <c r="I83" s="36" t="s">
        <v>30</v>
      </c>
      <c r="J83" s="38">
        <v>46128</v>
      </c>
      <c r="K83" s="38">
        <v>2958465</v>
      </c>
      <c r="L83" s="36" t="s">
        <v>31</v>
      </c>
      <c r="M83" s="36" t="s">
        <v>60</v>
      </c>
      <c r="N83" s="39">
        <f ca="1">DATEDIF(H83,$R$1,"D")</f>
        <v>16</v>
      </c>
      <c r="O83" s="40">
        <f t="shared" ca="1" si="2"/>
        <v>0.53333333333333333</v>
      </c>
      <c r="P83" s="41"/>
      <c r="Q83" s="41"/>
      <c r="R83" s="42"/>
    </row>
    <row r="84" spans="1:18" ht="20.25">
      <c r="A84" s="32">
        <f t="shared" si="3"/>
        <v>81</v>
      </c>
      <c r="B84" s="33" t="s">
        <v>260</v>
      </c>
      <c r="C84" s="33" t="s">
        <v>261</v>
      </c>
      <c r="D84" s="34" t="s">
        <v>262</v>
      </c>
      <c r="E84" s="35" t="s">
        <v>27</v>
      </c>
      <c r="F84" s="32" t="s">
        <v>28</v>
      </c>
      <c r="G84" s="36" t="s">
        <v>60</v>
      </c>
      <c r="H84" s="37">
        <v>46129</v>
      </c>
      <c r="I84" s="36" t="s">
        <v>30</v>
      </c>
      <c r="J84" s="38">
        <v>46074</v>
      </c>
      <c r="K84" s="38">
        <v>2958465</v>
      </c>
      <c r="L84" s="36" t="s">
        <v>31</v>
      </c>
      <c r="M84" s="36" t="s">
        <v>60</v>
      </c>
      <c r="N84" s="39">
        <f ca="1">DATEDIF(H84,$R$1,"D")</f>
        <v>75</v>
      </c>
      <c r="O84" s="40">
        <f t="shared" ca="1" si="2"/>
        <v>2.5</v>
      </c>
      <c r="P84" s="41"/>
      <c r="Q84" s="41"/>
      <c r="R84" s="42"/>
    </row>
    <row r="85" spans="1:18" ht="20.25">
      <c r="A85" s="32">
        <f t="shared" si="3"/>
        <v>82</v>
      </c>
      <c r="B85" s="33" t="s">
        <v>263</v>
      </c>
      <c r="C85" s="33" t="s">
        <v>264</v>
      </c>
      <c r="D85" s="34" t="s">
        <v>265</v>
      </c>
      <c r="E85" s="35" t="s">
        <v>27</v>
      </c>
      <c r="F85" s="32" t="s">
        <v>28</v>
      </c>
      <c r="G85" s="36" t="s">
        <v>60</v>
      </c>
      <c r="H85" s="37">
        <v>45619</v>
      </c>
      <c r="I85" s="36" t="s">
        <v>30</v>
      </c>
      <c r="J85" s="38">
        <v>45561</v>
      </c>
      <c r="K85" s="38">
        <v>2958465</v>
      </c>
      <c r="L85" s="36" t="s">
        <v>31</v>
      </c>
      <c r="M85" s="36" t="s">
        <v>60</v>
      </c>
      <c r="N85" s="39">
        <f ca="1">DATEDIF(H85,$R$1,"D")</f>
        <v>585</v>
      </c>
      <c r="O85" s="40">
        <f t="shared" ca="1" si="2"/>
        <v>19.5</v>
      </c>
      <c r="P85" s="41"/>
      <c r="Q85" s="41"/>
      <c r="R85" s="42"/>
    </row>
    <row r="86" spans="1:18" ht="20.25">
      <c r="A86" s="32">
        <f t="shared" si="3"/>
        <v>83</v>
      </c>
      <c r="B86" s="33" t="s">
        <v>263</v>
      </c>
      <c r="C86" s="33" t="s">
        <v>264</v>
      </c>
      <c r="D86" s="34" t="s">
        <v>266</v>
      </c>
      <c r="E86" s="35" t="s">
        <v>27</v>
      </c>
      <c r="F86" s="32" t="s">
        <v>28</v>
      </c>
      <c r="G86" s="36" t="s">
        <v>60</v>
      </c>
      <c r="H86" s="37">
        <v>45619</v>
      </c>
      <c r="I86" s="36" t="s">
        <v>30</v>
      </c>
      <c r="J86" s="38">
        <v>45561</v>
      </c>
      <c r="K86" s="38">
        <v>2958465</v>
      </c>
      <c r="L86" s="36" t="s">
        <v>31</v>
      </c>
      <c r="M86" s="36" t="s">
        <v>60</v>
      </c>
      <c r="N86" s="39">
        <f ca="1">DATEDIF(H86,$R$1,"D")</f>
        <v>585</v>
      </c>
      <c r="O86" s="40">
        <f t="shared" ca="1" si="2"/>
        <v>19.5</v>
      </c>
      <c r="P86" s="41"/>
      <c r="Q86" s="41"/>
      <c r="R86" s="42"/>
    </row>
    <row r="87" spans="1:18" ht="20.25">
      <c r="A87" s="32">
        <f t="shared" si="3"/>
        <v>84</v>
      </c>
      <c r="B87" s="33" t="s">
        <v>263</v>
      </c>
      <c r="C87" s="33" t="s">
        <v>264</v>
      </c>
      <c r="D87" s="34" t="s">
        <v>267</v>
      </c>
      <c r="E87" s="35" t="s">
        <v>27</v>
      </c>
      <c r="F87" s="32" t="s">
        <v>28</v>
      </c>
      <c r="G87" s="36" t="s">
        <v>60</v>
      </c>
      <c r="H87" s="37">
        <v>45619</v>
      </c>
      <c r="I87" s="36" t="s">
        <v>30</v>
      </c>
      <c r="J87" s="38">
        <v>45561</v>
      </c>
      <c r="K87" s="38">
        <v>2958465</v>
      </c>
      <c r="L87" s="36" t="s">
        <v>31</v>
      </c>
      <c r="M87" s="36" t="s">
        <v>60</v>
      </c>
      <c r="N87" s="39">
        <f ca="1">DATEDIF(H87,$R$1,"D")</f>
        <v>585</v>
      </c>
      <c r="O87" s="40">
        <f t="shared" ca="1" si="2"/>
        <v>19.5</v>
      </c>
      <c r="P87" s="41"/>
      <c r="Q87" s="41"/>
      <c r="R87" s="42"/>
    </row>
    <row r="88" spans="1:18" ht="20.25">
      <c r="A88" s="32">
        <f t="shared" si="3"/>
        <v>85</v>
      </c>
      <c r="B88" s="33" t="s">
        <v>268</v>
      </c>
      <c r="C88" s="33" t="s">
        <v>269</v>
      </c>
      <c r="D88" s="34" t="s">
        <v>270</v>
      </c>
      <c r="E88" s="35" t="s">
        <v>27</v>
      </c>
      <c r="F88" s="32" t="s">
        <v>28</v>
      </c>
      <c r="G88" s="36" t="s">
        <v>60</v>
      </c>
      <c r="H88" s="37">
        <v>45621</v>
      </c>
      <c r="I88" s="36" t="s">
        <v>30</v>
      </c>
      <c r="J88" s="38">
        <v>45531</v>
      </c>
      <c r="K88" s="38">
        <v>2958465</v>
      </c>
      <c r="L88" s="36" t="s">
        <v>31</v>
      </c>
      <c r="M88" s="36" t="s">
        <v>60</v>
      </c>
      <c r="N88" s="39">
        <f ca="1">DATEDIF(H88,$R$1,"D")</f>
        <v>583</v>
      </c>
      <c r="O88" s="40">
        <f t="shared" ca="1" si="2"/>
        <v>19.433333333333334</v>
      </c>
      <c r="P88" s="41"/>
      <c r="Q88" s="41"/>
      <c r="R88" s="42"/>
    </row>
    <row r="89" spans="1:18" ht="20.25">
      <c r="A89" s="32">
        <f t="shared" si="3"/>
        <v>86</v>
      </c>
      <c r="B89" s="33" t="s">
        <v>271</v>
      </c>
      <c r="C89" s="33" t="s">
        <v>272</v>
      </c>
      <c r="D89" s="34" t="s">
        <v>273</v>
      </c>
      <c r="E89" s="35" t="s">
        <v>27</v>
      </c>
      <c r="F89" s="32" t="s">
        <v>28</v>
      </c>
      <c r="G89" s="36" t="s">
        <v>60</v>
      </c>
      <c r="H89" s="37">
        <v>45621</v>
      </c>
      <c r="I89" s="36" t="s">
        <v>30</v>
      </c>
      <c r="J89" s="38">
        <v>45531</v>
      </c>
      <c r="K89" s="38">
        <v>2958465</v>
      </c>
      <c r="L89" s="36" t="s">
        <v>31</v>
      </c>
      <c r="M89" s="36" t="s">
        <v>60</v>
      </c>
      <c r="N89" s="39">
        <f ca="1">DATEDIF(H89,$R$1,"D")</f>
        <v>583</v>
      </c>
      <c r="O89" s="40">
        <f t="shared" ca="1" si="2"/>
        <v>19.433333333333334</v>
      </c>
      <c r="P89" s="41"/>
      <c r="Q89" s="41"/>
      <c r="R89" s="42"/>
    </row>
    <row r="90" spans="1:18" ht="20.25">
      <c r="A90" s="32">
        <f t="shared" si="3"/>
        <v>87</v>
      </c>
      <c r="B90" s="33" t="s">
        <v>271</v>
      </c>
      <c r="C90" s="33" t="s">
        <v>272</v>
      </c>
      <c r="D90" s="34" t="s">
        <v>274</v>
      </c>
      <c r="E90" s="35" t="s">
        <v>27</v>
      </c>
      <c r="F90" s="32" t="s">
        <v>28</v>
      </c>
      <c r="G90" s="36" t="s">
        <v>60</v>
      </c>
      <c r="H90" s="37">
        <v>45621</v>
      </c>
      <c r="I90" s="36" t="s">
        <v>30</v>
      </c>
      <c r="J90" s="38">
        <v>45531</v>
      </c>
      <c r="K90" s="38">
        <v>2958465</v>
      </c>
      <c r="L90" s="36" t="s">
        <v>31</v>
      </c>
      <c r="M90" s="36" t="s">
        <v>60</v>
      </c>
      <c r="N90" s="39">
        <f ca="1">DATEDIF(H90,$R$1,"D")</f>
        <v>583</v>
      </c>
      <c r="O90" s="40">
        <f t="shared" ca="1" si="2"/>
        <v>19.433333333333334</v>
      </c>
      <c r="P90" s="41"/>
      <c r="Q90" s="41"/>
      <c r="R90" s="42"/>
    </row>
    <row r="91" spans="1:18" ht="20.25">
      <c r="A91" s="32">
        <f t="shared" si="3"/>
        <v>88</v>
      </c>
      <c r="B91" s="33" t="s">
        <v>271</v>
      </c>
      <c r="C91" s="33" t="s">
        <v>272</v>
      </c>
      <c r="D91" s="34" t="s">
        <v>275</v>
      </c>
      <c r="E91" s="35" t="s">
        <v>27</v>
      </c>
      <c r="F91" s="32" t="s">
        <v>28</v>
      </c>
      <c r="G91" s="36" t="s">
        <v>60</v>
      </c>
      <c r="H91" s="37">
        <v>45621</v>
      </c>
      <c r="I91" s="36" t="s">
        <v>30</v>
      </c>
      <c r="J91" s="38">
        <v>45531</v>
      </c>
      <c r="K91" s="38">
        <v>2958465</v>
      </c>
      <c r="L91" s="36" t="s">
        <v>31</v>
      </c>
      <c r="M91" s="36" t="s">
        <v>60</v>
      </c>
      <c r="N91" s="39">
        <f ca="1">DATEDIF(H91,$R$1,"D")</f>
        <v>583</v>
      </c>
      <c r="O91" s="40">
        <f t="shared" ca="1" si="2"/>
        <v>19.433333333333334</v>
      </c>
      <c r="P91" s="41"/>
      <c r="Q91" s="41"/>
      <c r="R91" s="42"/>
    </row>
    <row r="92" spans="1:18" ht="20.25">
      <c r="A92" s="32">
        <f t="shared" si="3"/>
        <v>89</v>
      </c>
      <c r="B92" s="33" t="s">
        <v>271</v>
      </c>
      <c r="C92" s="33" t="s">
        <v>272</v>
      </c>
      <c r="D92" s="34" t="s">
        <v>276</v>
      </c>
      <c r="E92" s="35" t="s">
        <v>27</v>
      </c>
      <c r="F92" s="32" t="s">
        <v>28</v>
      </c>
      <c r="G92" s="36" t="s">
        <v>60</v>
      </c>
      <c r="H92" s="37">
        <v>45621</v>
      </c>
      <c r="I92" s="36" t="s">
        <v>30</v>
      </c>
      <c r="J92" s="38">
        <v>45531</v>
      </c>
      <c r="K92" s="38">
        <v>2958465</v>
      </c>
      <c r="L92" s="36" t="s">
        <v>31</v>
      </c>
      <c r="M92" s="36" t="s">
        <v>60</v>
      </c>
      <c r="N92" s="39">
        <f ca="1">DATEDIF(H92,$R$1,"D")</f>
        <v>583</v>
      </c>
      <c r="O92" s="40">
        <f t="shared" ca="1" si="2"/>
        <v>19.433333333333334</v>
      </c>
      <c r="P92" s="41"/>
      <c r="Q92" s="41"/>
      <c r="R92" s="42"/>
    </row>
    <row r="93" spans="1:18" ht="20.25">
      <c r="A93" s="32">
        <f t="shared" si="3"/>
        <v>90</v>
      </c>
      <c r="B93" s="33" t="s">
        <v>271</v>
      </c>
      <c r="C93" s="33" t="s">
        <v>272</v>
      </c>
      <c r="D93" s="34" t="s">
        <v>277</v>
      </c>
      <c r="E93" s="35" t="s">
        <v>27</v>
      </c>
      <c r="F93" s="32" t="s">
        <v>28</v>
      </c>
      <c r="G93" s="36" t="s">
        <v>60</v>
      </c>
      <c r="H93" s="37">
        <v>45621</v>
      </c>
      <c r="I93" s="36" t="s">
        <v>30</v>
      </c>
      <c r="J93" s="38">
        <v>45531</v>
      </c>
      <c r="K93" s="38">
        <v>2958465</v>
      </c>
      <c r="L93" s="36" t="s">
        <v>31</v>
      </c>
      <c r="M93" s="36" t="s">
        <v>60</v>
      </c>
      <c r="N93" s="39">
        <f ca="1">DATEDIF(H93,$R$1,"D")</f>
        <v>583</v>
      </c>
      <c r="O93" s="40">
        <f t="shared" ca="1" si="2"/>
        <v>19.433333333333334</v>
      </c>
      <c r="P93" s="41"/>
      <c r="Q93" s="41"/>
      <c r="R93" s="42"/>
    </row>
    <row r="94" spans="1:18" ht="20.25">
      <c r="A94" s="32">
        <f t="shared" si="3"/>
        <v>91</v>
      </c>
      <c r="B94" s="33" t="s">
        <v>278</v>
      </c>
      <c r="C94" s="33" t="s">
        <v>279</v>
      </c>
      <c r="D94" s="34" t="s">
        <v>280</v>
      </c>
      <c r="E94" s="35" t="s">
        <v>27</v>
      </c>
      <c r="F94" s="32" t="s">
        <v>28</v>
      </c>
      <c r="G94" s="36" t="s">
        <v>60</v>
      </c>
      <c r="H94" s="37">
        <v>45804</v>
      </c>
      <c r="I94" s="36" t="s">
        <v>30</v>
      </c>
      <c r="J94" s="38">
        <v>45743</v>
      </c>
      <c r="K94" s="38">
        <v>2958465</v>
      </c>
      <c r="L94" s="36" t="s">
        <v>31</v>
      </c>
      <c r="M94" s="36" t="s">
        <v>60</v>
      </c>
      <c r="N94" s="39">
        <f ca="1">DATEDIF(H94,$R$1,"D")</f>
        <v>400</v>
      </c>
      <c r="O94" s="40">
        <f t="shared" ca="1" si="2"/>
        <v>13.333333333333334</v>
      </c>
      <c r="P94" s="41"/>
      <c r="Q94" s="41"/>
      <c r="R94" s="42"/>
    </row>
    <row r="95" spans="1:18" ht="20.25">
      <c r="A95" s="32">
        <f t="shared" si="3"/>
        <v>92</v>
      </c>
      <c r="B95" s="33" t="s">
        <v>278</v>
      </c>
      <c r="C95" s="33" t="s">
        <v>279</v>
      </c>
      <c r="D95" s="34" t="s">
        <v>281</v>
      </c>
      <c r="E95" s="35" t="s">
        <v>27</v>
      </c>
      <c r="F95" s="32" t="s">
        <v>28</v>
      </c>
      <c r="G95" s="36" t="s">
        <v>60</v>
      </c>
      <c r="H95" s="37">
        <v>45804</v>
      </c>
      <c r="I95" s="36" t="s">
        <v>30</v>
      </c>
      <c r="J95" s="38">
        <v>45743</v>
      </c>
      <c r="K95" s="38">
        <v>2958465</v>
      </c>
      <c r="L95" s="36" t="s">
        <v>31</v>
      </c>
      <c r="M95" s="36" t="s">
        <v>60</v>
      </c>
      <c r="N95" s="39">
        <f ca="1">DATEDIF(H95,$R$1,"D")</f>
        <v>400</v>
      </c>
      <c r="O95" s="40">
        <f t="shared" ca="1" si="2"/>
        <v>13.333333333333334</v>
      </c>
      <c r="P95" s="41"/>
      <c r="Q95" s="41"/>
      <c r="R95" s="42"/>
    </row>
    <row r="96" spans="1:18" ht="20.25">
      <c r="A96" s="32">
        <f t="shared" si="3"/>
        <v>93</v>
      </c>
      <c r="B96" s="33" t="s">
        <v>278</v>
      </c>
      <c r="C96" s="33" t="s">
        <v>279</v>
      </c>
      <c r="D96" s="34" t="s">
        <v>282</v>
      </c>
      <c r="E96" s="35" t="s">
        <v>27</v>
      </c>
      <c r="F96" s="32" t="s">
        <v>28</v>
      </c>
      <c r="G96" s="36" t="s">
        <v>60</v>
      </c>
      <c r="H96" s="37">
        <v>45804</v>
      </c>
      <c r="I96" s="36" t="s">
        <v>30</v>
      </c>
      <c r="J96" s="38">
        <v>45743</v>
      </c>
      <c r="K96" s="38">
        <v>2958465</v>
      </c>
      <c r="L96" s="36" t="s">
        <v>31</v>
      </c>
      <c r="M96" s="36" t="s">
        <v>60</v>
      </c>
      <c r="N96" s="39">
        <f ca="1">DATEDIF(H96,$R$1,"D")</f>
        <v>400</v>
      </c>
      <c r="O96" s="40">
        <f t="shared" ca="1" si="2"/>
        <v>13.333333333333334</v>
      </c>
      <c r="P96" s="41"/>
      <c r="Q96" s="41"/>
      <c r="R96" s="42"/>
    </row>
    <row r="97" spans="1:18" ht="20.25">
      <c r="A97" s="32">
        <f t="shared" si="3"/>
        <v>94</v>
      </c>
      <c r="B97" s="33" t="s">
        <v>278</v>
      </c>
      <c r="C97" s="33" t="s">
        <v>279</v>
      </c>
      <c r="D97" s="34" t="s">
        <v>283</v>
      </c>
      <c r="E97" s="35" t="s">
        <v>27</v>
      </c>
      <c r="F97" s="32" t="s">
        <v>28</v>
      </c>
      <c r="G97" s="36" t="s">
        <v>60</v>
      </c>
      <c r="H97" s="37">
        <v>45891</v>
      </c>
      <c r="I97" s="36" t="s">
        <v>30</v>
      </c>
      <c r="J97" s="38">
        <v>45864</v>
      </c>
      <c r="K97" s="38">
        <v>2958465</v>
      </c>
      <c r="L97" s="36" t="s">
        <v>31</v>
      </c>
      <c r="M97" s="36" t="s">
        <v>60</v>
      </c>
      <c r="N97" s="39">
        <f ca="1">DATEDIF(H97,$R$1,"D")</f>
        <v>313</v>
      </c>
      <c r="O97" s="40">
        <f t="shared" ca="1" si="2"/>
        <v>10.433333333333334</v>
      </c>
      <c r="P97" s="41"/>
      <c r="Q97" s="41"/>
      <c r="R97" s="42"/>
    </row>
    <row r="98" spans="1:18" ht="20.25">
      <c r="A98" s="32">
        <f t="shared" si="3"/>
        <v>95</v>
      </c>
      <c r="B98" s="33" t="s">
        <v>278</v>
      </c>
      <c r="C98" s="33" t="s">
        <v>279</v>
      </c>
      <c r="D98" s="34" t="s">
        <v>284</v>
      </c>
      <c r="E98" s="35" t="s">
        <v>27</v>
      </c>
      <c r="F98" s="32" t="s">
        <v>28</v>
      </c>
      <c r="G98" s="36" t="s">
        <v>60</v>
      </c>
      <c r="H98" s="37">
        <v>45891</v>
      </c>
      <c r="I98" s="36" t="s">
        <v>30</v>
      </c>
      <c r="J98" s="38">
        <v>45864</v>
      </c>
      <c r="K98" s="38">
        <v>2958465</v>
      </c>
      <c r="L98" s="36" t="s">
        <v>31</v>
      </c>
      <c r="M98" s="36" t="s">
        <v>60</v>
      </c>
      <c r="N98" s="39">
        <f ca="1">DATEDIF(H98,$R$1,"D")</f>
        <v>313</v>
      </c>
      <c r="O98" s="40">
        <f t="shared" ca="1" si="2"/>
        <v>10.433333333333334</v>
      </c>
      <c r="P98" s="41"/>
      <c r="Q98" s="41"/>
      <c r="R98" s="42"/>
    </row>
  </sheetData>
  <mergeCells count="10">
    <mergeCell ref="I2:I3"/>
    <mergeCell ref="J2:J3"/>
    <mergeCell ref="K2:K3"/>
    <mergeCell ref="L2:L3"/>
    <mergeCell ref="A2:A3"/>
    <mergeCell ref="B2:B3"/>
    <mergeCell ref="C2:C3"/>
    <mergeCell ref="D2:D3"/>
    <mergeCell ref="E2:E3"/>
    <mergeCell ref="F2:F3"/>
  </mergeCells>
  <pageMargins left="0" right="0" top="0" bottom="0" header="0.31496062992125984" footer="0.31496062992125984"/>
  <pageSetup paperSize="9" scale="8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niyomnb01</dc:creator>
  <cp:lastModifiedBy>niyomnb01</cp:lastModifiedBy>
  <cp:lastPrinted>2026-07-01T03:58:13Z</cp:lastPrinted>
  <dcterms:created xsi:type="dcterms:W3CDTF">2026-07-01T03:55:49Z</dcterms:created>
  <dcterms:modified xsi:type="dcterms:W3CDTF">2026-07-01T03:58:49Z</dcterms:modified>
</cp:coreProperties>
</file>